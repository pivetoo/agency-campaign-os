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Resumo" sheetId="2" state="visible" r:id="rId2"/>
    <sheet name="01 Auth &amp; Permissoes" sheetId="3" state="visible" r:id="rId3"/>
    <sheet name="02 Configuracao" sheetId="4" state="visible" r:id="rId4"/>
    <sheet name="03 Marcas &amp; Creators" sheetId="5" state="visible" r:id="rId5"/>
    <sheet name="04 Comercial" sheetId="6" state="visible" r:id="rId6"/>
    <sheet name="05 Operacao de Campanhas" sheetId="7" state="visible" r:id="rId7"/>
    <sheet name="06 Financeiro" sheetId="8" state="visible" r:id="rId8"/>
    <sheet name="07 Portal do Creator" sheetId="9" state="visible" r:id="rId9"/>
    <sheet name="08 Sistema &amp; Regressao" sheetId="10" state="visible" r:id="rId10"/>
  </sheets>
  <definedNames>
    <definedName name="_xlnm._FilterDatabase" localSheetId="2" hidden="1">'01 Auth &amp; Permissoes'!$A$3:$J$10</definedName>
    <definedName name="_xlnm._FilterDatabase" localSheetId="3" hidden="1">'02 Configuracao'!$A$3:$J$20</definedName>
    <definedName name="_xlnm._FilterDatabase" localSheetId="4" hidden="1">'03 Marcas &amp; Creators'!$A$3:$J$11</definedName>
    <definedName name="_xlnm._FilterDatabase" localSheetId="5" hidden="1">'04 Comercial'!$A$3:$J$27</definedName>
    <definedName name="_xlnm._FilterDatabase" localSheetId="6" hidden="1">'05 Operacao de Campanhas'!$A$3:$J$18</definedName>
    <definedName name="_xlnm._FilterDatabase" localSheetId="7" hidden="1">'06 Financeiro'!$A$3:$J$16</definedName>
    <definedName name="_xlnm._FilterDatabase" localSheetId="8" hidden="1">'07 Portal do Creator'!$A$3:$J$9</definedName>
    <definedName name="_xlnm._FilterDatabase" localSheetId="9" hidden="1">'08 Sistema &amp; Regressao'!$A$3:$J$29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color rgb="00E0F7FA"/>
      <sz val="13"/>
    </font>
    <font>
      <name val="Calibri"/>
      <i val="1"/>
      <color rgb="00B7E4EC"/>
      <sz val="10"/>
    </font>
    <font>
      <name val="Calibri"/>
      <b val="1"/>
      <color rgb="001F3B61"/>
      <sz val="14"/>
    </font>
    <font>
      <b val="1"/>
      <color rgb="0000B3C7"/>
      <sz val="11"/>
    </font>
    <font>
      <color rgb="001F2937"/>
      <sz val="11"/>
    </font>
    <font>
      <b val="1"/>
      <color rgb="00374151"/>
      <sz val="11"/>
    </font>
    <font>
      <b val="1"/>
      <color rgb="000E7490"/>
      <sz val="11"/>
    </font>
    <font>
      <b val="1"/>
      <color rgb="00065F46"/>
      <sz val="11"/>
    </font>
    <font>
      <b val="1"/>
      <color rgb="00991B1B"/>
      <sz val="11"/>
    </font>
    <font>
      <b val="1"/>
      <color rgb="0092400E"/>
      <sz val="11"/>
    </font>
    <font>
      <b val="1"/>
      <color rgb="004B5563"/>
      <sz val="11"/>
    </font>
    <font>
      <i val="1"/>
      <color rgb="006B7280"/>
      <sz val="9"/>
    </font>
    <font>
      <b val="1"/>
      <color rgb="00FFFFFF"/>
      <sz val="16"/>
    </font>
    <font>
      <b val="1"/>
      <color rgb="00FFFFFF"/>
      <sz val="11"/>
    </font>
    <font>
      <color rgb="001F2937"/>
      <sz val="10"/>
    </font>
    <font>
      <b val="1"/>
      <color rgb="001F3B61"/>
      <sz val="10"/>
    </font>
    <font>
      <b val="1"/>
      <color rgb="000E7490"/>
      <sz val="10"/>
    </font>
    <font>
      <b val="1"/>
      <color rgb="00374151"/>
      <sz val="10"/>
    </font>
    <font>
      <b val="1"/>
      <color rgb="0092400E"/>
      <sz val="10"/>
    </font>
    <font>
      <b val="1"/>
      <color rgb="00991B1B"/>
      <sz val="10"/>
    </font>
    <font>
      <b val="1"/>
      <color rgb="00FFFFFF"/>
      <sz val="18"/>
    </font>
    <font>
      <i val="1"/>
      <color rgb="006B7280"/>
      <sz val="10"/>
    </font>
  </fonts>
  <fills count="13">
    <fill>
      <patternFill/>
    </fill>
    <fill>
      <patternFill patternType="gray125"/>
    </fill>
    <fill>
      <patternFill patternType="solid">
        <fgColor rgb="001F3B61"/>
      </patternFill>
    </fill>
    <fill>
      <patternFill patternType="solid">
        <fgColor rgb="0000B3C7"/>
      </patternFill>
    </fill>
    <fill>
      <patternFill patternType="solid">
        <fgColor rgb="00F3F4F6"/>
      </patternFill>
    </fill>
    <fill>
      <patternFill patternType="solid">
        <fgColor rgb="00CFFAFE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5E7EB"/>
      </patternFill>
    </fill>
    <fill>
      <patternFill patternType="solid">
        <fgColor rgb="00E8EEF5"/>
      </patternFill>
    </fill>
    <fill>
      <patternFill patternType="solid">
        <fgColor rgb="00E0F7FA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0" fillId="10" borderId="0" pivotButton="0" quotePrefix="0" xfId="0"/>
    <xf numFmtId="0" fontId="13" fillId="10" borderId="0" applyAlignment="1" pivotButton="0" quotePrefix="0" xfId="0">
      <alignment vertical="center"/>
    </xf>
    <xf numFmtId="0" fontId="22" fillId="2" borderId="0" applyAlignment="1" pivotButton="0" quotePrefix="0" xfId="0">
      <alignment horizontal="left" vertical="center" indent="1"/>
    </xf>
    <xf numFmtId="0" fontId="15" fillId="2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indent="1"/>
    </xf>
    <xf numFmtId="0" fontId="16" fillId="0" borderId="1" applyAlignment="1" pivotButton="0" quotePrefix="0" xfId="0">
      <alignment horizontal="center" vertical="center"/>
    </xf>
    <xf numFmtId="9" fontId="16" fillId="0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left" vertical="center" indent="1"/>
    </xf>
    <xf numFmtId="0" fontId="16" fillId="12" borderId="1" applyAlignment="1" pivotButton="0" quotePrefix="0" xfId="0">
      <alignment horizontal="center" vertical="center"/>
    </xf>
    <xf numFmtId="9" fontId="16" fillId="1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left" vertical="center" indent="1"/>
    </xf>
    <xf numFmtId="0" fontId="15" fillId="2" borderId="1" applyAlignment="1" pivotButton="0" quotePrefix="0" xfId="0">
      <alignment horizontal="center" vertical="center"/>
    </xf>
    <xf numFmtId="9" fontId="15" fillId="2" borderId="1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indent="1"/>
    </xf>
    <xf numFmtId="0" fontId="14" fillId="2" borderId="0" applyAlignment="1" pivotButton="0" quotePrefix="0" xfId="0">
      <alignment horizontal="left" vertical="center" indent="1"/>
    </xf>
    <xf numFmtId="0" fontId="17" fillId="0" borderId="1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8" fillId="11" borderId="1" applyAlignment="1" pivotButton="0" quotePrefix="0" xfId="0">
      <alignment horizontal="center" vertical="top"/>
    </xf>
    <xf numFmtId="0" fontId="19" fillId="0" borderId="1" applyAlignment="1" pivotButton="0" quotePrefix="0" xfId="0">
      <alignment horizontal="center" vertical="top"/>
    </xf>
    <xf numFmtId="0" fontId="17" fillId="12" borderId="1" applyAlignment="1" pivotButton="0" quotePrefix="0" xfId="0">
      <alignment horizontal="center" vertical="top"/>
    </xf>
    <xf numFmtId="0" fontId="16" fillId="12" borderId="1" applyAlignment="1" pivotButton="0" quotePrefix="0" xfId="0">
      <alignment vertical="top" wrapText="1"/>
    </xf>
    <xf numFmtId="0" fontId="19" fillId="12" borderId="1" applyAlignment="1" pivotButton="0" quotePrefix="0" xfId="0">
      <alignment horizontal="center" vertical="top"/>
    </xf>
    <xf numFmtId="0" fontId="20" fillId="8" borderId="1" applyAlignment="1" pivotButton="0" quotePrefix="0" xfId="0">
      <alignment horizontal="center" vertical="top"/>
    </xf>
    <xf numFmtId="0" fontId="21" fillId="7" borderId="1" applyAlignment="1" pivotButton="0" quotePrefix="0" xfId="0">
      <alignment horizontal="center" vertical="top"/>
    </xf>
  </cellXfs>
  <cellStyles count="1">
    <cellStyle name="Normal" xfId="0" builtinId="0" hidden="0"/>
  </cellStyles>
  <dxfs count="6">
    <dxf>
      <font>
        <b val="1"/>
        <color rgb="00374151"/>
        <sz val="10"/>
      </font>
      <fill>
        <patternFill patternType="solid">
          <fgColor rgb="00F3F4F6"/>
        </patternFill>
      </fill>
    </dxf>
    <dxf>
      <font>
        <b val="1"/>
        <color rgb="000E7490"/>
        <sz val="10"/>
      </font>
      <fill>
        <patternFill patternType="solid">
          <fgColor rgb="00CFFAFE"/>
        </patternFill>
      </fill>
    </dxf>
    <dxf>
      <font>
        <b val="1"/>
        <color rgb="00065F46"/>
        <sz val="10"/>
      </font>
      <fill>
        <patternFill patternType="solid">
          <fgColor rgb="00D1FAE5"/>
        </patternFill>
      </fill>
    </dxf>
    <dxf>
      <font>
        <b val="1"/>
        <color rgb="00991B1B"/>
        <sz val="10"/>
      </font>
      <fill>
        <patternFill patternType="solid">
          <fgColor rgb="00FEE2E2"/>
        </patternFill>
      </fill>
    </dxf>
    <dxf>
      <font>
        <b val="1"/>
        <color rgb="0092400E"/>
        <sz val="10"/>
      </font>
      <fill>
        <patternFill patternType="solid">
          <fgColor rgb="00FEF3C7"/>
        </patternFill>
      </fill>
    </dxf>
    <dxf>
      <font>
        <b val="1"/>
        <color rgb="004B5563"/>
        <sz val="10"/>
      </font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50" customWidth="1" min="3" max="3"/>
    <col width="25" customWidth="1" min="4" max="4"/>
    <col width="4" customWidth="1" min="5" max="5"/>
  </cols>
  <sheetData>
    <row r="1" ht="8" customHeight="1">
      <c r="A1" s="1" t="n"/>
      <c r="B1" s="1" t="n"/>
      <c r="C1" s="1" t="n"/>
      <c r="D1" s="1" t="n"/>
      <c r="E1" s="1" t="n"/>
    </row>
    <row r="2" ht="26" customHeight="1">
      <c r="A2" s="1" t="n"/>
      <c r="B2" s="2" t="inlineStr">
        <is>
          <t>KANVAS QA</t>
        </is>
      </c>
      <c r="E2" s="1" t="n"/>
    </row>
    <row r="3" ht="26" customHeight="1">
      <c r="A3" s="1" t="n"/>
      <c r="B3" s="3" t="inlineStr">
        <is>
          <t>Caderno de Testes Manuais — Pre-lancamento SaaS Mainstay</t>
        </is>
      </c>
      <c r="E3" s="1" t="n"/>
    </row>
    <row r="4" ht="26" customHeight="1">
      <c r="A4" s="1" t="n"/>
      <c r="B4" s="4" t="inlineStr">
        <is>
          <t>Versao 1.0 — 2026-05-15</t>
        </is>
      </c>
      <c r="E4" s="1" t="n"/>
    </row>
    <row r="5" ht="6" customHeight="1">
      <c r="A5" s="5" t="n"/>
      <c r="B5" s="5" t="n"/>
      <c r="C5" s="5" t="n"/>
      <c r="D5" s="5" t="n"/>
      <c r="E5" s="5" t="n"/>
    </row>
    <row r="7" ht="24" customHeight="1">
      <c r="B7" s="6" t="inlineStr">
        <is>
          <t>Como usar este caderno</t>
        </is>
      </c>
    </row>
    <row r="8" ht="20" customHeight="1">
      <c r="B8" s="7" t="inlineStr">
        <is>
          <t>1.</t>
        </is>
      </c>
      <c r="C8" s="8" t="inlineStr">
        <is>
          <t>Abra a aba do modulo em teste (01 Auth, 02 Configuracao, ...).</t>
        </is>
      </c>
    </row>
    <row r="9" ht="20" customHeight="1">
      <c r="B9" s="7" t="inlineStr">
        <is>
          <t>2.</t>
        </is>
      </c>
      <c r="C9" s="8" t="inlineStr">
        <is>
          <t>Execute os passos descritos e compare com o resultado esperado.</t>
        </is>
      </c>
    </row>
    <row r="10" ht="20" customHeight="1">
      <c r="B10" s="7" t="inlineStr">
        <is>
          <t>3.</t>
        </is>
      </c>
      <c r="C10" s="8" t="inlineStr">
        <is>
          <t>Atualize a coluna Status usando o dropdown (Passou, Falhou, Bloqueado, etc.).</t>
        </is>
      </c>
    </row>
    <row r="11" ht="20" customHeight="1">
      <c r="B11" s="7" t="inlineStr">
        <is>
          <t>4.</t>
        </is>
      </c>
      <c r="C11" s="8" t="inlineStr">
        <is>
          <t>Registre evidencias e bugs na coluna Observacoes (prefixo BUG: para virar fix depois).</t>
        </is>
      </c>
    </row>
    <row r="12" ht="20" customHeight="1">
      <c r="B12" s="7" t="inlineStr">
        <is>
          <t>5.</t>
        </is>
      </c>
      <c r="C12" s="8" t="inlineStr">
        <is>
          <t>A aba Resumo consolida o progresso automaticamente.</t>
        </is>
      </c>
    </row>
    <row r="13" ht="20" customHeight="1">
      <c r="B13" s="7" t="inlineStr">
        <is>
          <t>6.</t>
        </is>
      </c>
      <c r="C13" s="8" t="inlineStr">
        <is>
          <t>Cenarios marcados como Critico precisam passar antes do lancamento.</t>
        </is>
      </c>
    </row>
    <row r="16" ht="24" customHeight="1">
      <c r="B16" s="6" t="inlineStr">
        <is>
          <t>Legenda de Status</t>
        </is>
      </c>
    </row>
    <row r="17" ht="20" customHeight="1">
      <c r="B17" s="9" t="inlineStr">
        <is>
          <t>Pendente</t>
        </is>
      </c>
      <c r="C17" s="10" t="inlineStr">
        <is>
          <t>Ainda nao executado.</t>
        </is>
      </c>
    </row>
    <row r="18" ht="20" customHeight="1">
      <c r="B18" s="11" t="inlineStr">
        <is>
          <t>Em andamento</t>
        </is>
      </c>
      <c r="C18" s="10" t="inlineStr">
        <is>
          <t>Em execucao ou bloqueado parcialmente.</t>
        </is>
      </c>
    </row>
    <row r="19" ht="20" customHeight="1">
      <c r="B19" s="12" t="inlineStr">
        <is>
          <t>Passou</t>
        </is>
      </c>
      <c r="C19" s="10" t="inlineStr">
        <is>
          <t>Cenario executado e resultado bate com o esperado.</t>
        </is>
      </c>
    </row>
    <row r="20" ht="20" customHeight="1">
      <c r="B20" s="13" t="inlineStr">
        <is>
          <t>Falhou</t>
        </is>
      </c>
      <c r="C20" s="10" t="inlineStr">
        <is>
          <t>Resultado diferente do esperado — abrir bug.</t>
        </is>
      </c>
    </row>
    <row r="21" ht="20" customHeight="1">
      <c r="B21" s="14" t="inlineStr">
        <is>
          <t>Bloqueado</t>
        </is>
      </c>
      <c r="C21" s="10" t="inlineStr">
        <is>
          <t>Nao pode ser testado por dependencia externa.</t>
        </is>
      </c>
    </row>
    <row r="22" ht="20" customHeight="1">
      <c r="B22" s="15" t="inlineStr">
        <is>
          <t>N/A</t>
        </is>
      </c>
      <c r="C22" s="10" t="inlineStr">
        <is>
          <t>Nao se aplica a este ambiente ou versao.</t>
        </is>
      </c>
    </row>
    <row r="25" ht="20" customHeight="1">
      <c r="A25" s="16" t="n"/>
      <c r="B25" s="17" t="inlineStr">
        <is>
          <t>Mainstay / Kanvas — Documento interno de QA. Cores: navy #1F3B61 e cyan #00B3C7.</t>
        </is>
      </c>
      <c r="E25" s="16" t="n"/>
    </row>
  </sheetData>
  <mergeCells count="6">
    <mergeCell ref="B3:D3"/>
    <mergeCell ref="B4:D4"/>
    <mergeCell ref="B2:D2"/>
    <mergeCell ref="B7:D7"/>
    <mergeCell ref="B25:D25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</cols>
  <sheetData>
    <row r="1" ht="36" customHeight="1">
      <c r="B1" s="18" t="inlineStr">
        <is>
          <t>RESUMO DE EXECUCAO</t>
        </is>
      </c>
      <c r="C1" s="1" t="n"/>
      <c r="D1" s="1" t="n"/>
      <c r="E1" s="1" t="n"/>
      <c r="F1" s="1" t="n"/>
      <c r="G1" s="1" t="n"/>
      <c r="H1" s="1" t="n"/>
      <c r="I1" s="1" t="n"/>
    </row>
    <row r="2" ht="4" customHeight="1">
      <c r="B2" s="5" t="n"/>
      <c r="C2" s="5" t="n"/>
      <c r="D2" s="5" t="n"/>
      <c r="E2" s="5" t="n"/>
      <c r="F2" s="5" t="n"/>
      <c r="G2" s="5" t="n"/>
      <c r="H2" s="5" t="n"/>
      <c r="I2" s="5" t="n"/>
    </row>
    <row r="4" ht="28" customHeight="1">
      <c r="B4" s="19" t="inlineStr">
        <is>
          <t>Modulo</t>
        </is>
      </c>
      <c r="C4" s="19" t="inlineStr">
        <is>
          <t>Total</t>
        </is>
      </c>
      <c r="D4" s="19" t="inlineStr">
        <is>
          <t>Pendente</t>
        </is>
      </c>
      <c r="E4" s="19" t="inlineStr">
        <is>
          <t>Em andamento</t>
        </is>
      </c>
      <c r="F4" s="19" t="inlineStr">
        <is>
          <t>Passou</t>
        </is>
      </c>
      <c r="G4" s="19" t="inlineStr">
        <is>
          <t>Falhou</t>
        </is>
      </c>
      <c r="H4" s="19" t="inlineStr">
        <is>
          <t>Bloqueado</t>
        </is>
      </c>
      <c r="I4" s="19" t="inlineStr">
        <is>
          <t>Progresso</t>
        </is>
      </c>
    </row>
    <row r="5" ht="24" customHeight="1">
      <c r="B5" s="20" t="inlineStr">
        <is>
          <t>01 Auth &amp; Permissoes</t>
        </is>
      </c>
      <c r="C5" s="21">
        <f>COUNTA('01 Auth &amp; Permissoes'!I:I)-1</f>
        <v/>
      </c>
      <c r="D5" s="21">
        <f>COUNTIF('01 Auth &amp; Permissoes'!I:I,"Pendente")</f>
        <v/>
      </c>
      <c r="E5" s="21">
        <f>COUNTIF('01 Auth &amp; Permissoes'!I:I,"Em andamento")</f>
        <v/>
      </c>
      <c r="F5" s="21">
        <f>COUNTIF('01 Auth &amp; Permissoes'!I:I,"Passou")</f>
        <v/>
      </c>
      <c r="G5" s="21">
        <f>COUNTIF('01 Auth &amp; Permissoes'!I:I,"Falhou")</f>
        <v/>
      </c>
      <c r="H5" s="21">
        <f>COUNTIF('01 Auth &amp; Permissoes'!I:I,"Bloqueado")</f>
        <v/>
      </c>
      <c r="I5" s="22">
        <f>IFERROR(F5/C5,0)</f>
        <v/>
      </c>
    </row>
    <row r="6" ht="24" customHeight="1">
      <c r="B6" s="23" t="inlineStr">
        <is>
          <t>02 Configuracao</t>
        </is>
      </c>
      <c r="C6" s="24">
        <f>COUNTA('02 Configuracao'!I:I)-1</f>
        <v/>
      </c>
      <c r="D6" s="24">
        <f>COUNTIF('02 Configuracao'!I:I,"Pendente")</f>
        <v/>
      </c>
      <c r="E6" s="24">
        <f>COUNTIF('02 Configuracao'!I:I,"Em andamento")</f>
        <v/>
      </c>
      <c r="F6" s="24">
        <f>COUNTIF('02 Configuracao'!I:I,"Passou")</f>
        <v/>
      </c>
      <c r="G6" s="24">
        <f>COUNTIF('02 Configuracao'!I:I,"Falhou")</f>
        <v/>
      </c>
      <c r="H6" s="24">
        <f>COUNTIF('02 Configuracao'!I:I,"Bloqueado")</f>
        <v/>
      </c>
      <c r="I6" s="25">
        <f>IFERROR(F6/C6,0)</f>
        <v/>
      </c>
    </row>
    <row r="7" ht="24" customHeight="1">
      <c r="B7" s="20" t="inlineStr">
        <is>
          <t>03 Marcas &amp; Creators</t>
        </is>
      </c>
      <c r="C7" s="21">
        <f>COUNTA('03 Marcas &amp; Creators'!I:I)-1</f>
        <v/>
      </c>
      <c r="D7" s="21">
        <f>COUNTIF('03 Marcas &amp; Creators'!I:I,"Pendente")</f>
        <v/>
      </c>
      <c r="E7" s="21">
        <f>COUNTIF('03 Marcas &amp; Creators'!I:I,"Em andamento")</f>
        <v/>
      </c>
      <c r="F7" s="21">
        <f>COUNTIF('03 Marcas &amp; Creators'!I:I,"Passou")</f>
        <v/>
      </c>
      <c r="G7" s="21">
        <f>COUNTIF('03 Marcas &amp; Creators'!I:I,"Falhou")</f>
        <v/>
      </c>
      <c r="H7" s="21">
        <f>COUNTIF('03 Marcas &amp; Creators'!I:I,"Bloqueado")</f>
        <v/>
      </c>
      <c r="I7" s="22">
        <f>IFERROR(F7/C7,0)</f>
        <v/>
      </c>
    </row>
    <row r="8" ht="24" customHeight="1">
      <c r="B8" s="23" t="inlineStr">
        <is>
          <t>04 Comercial</t>
        </is>
      </c>
      <c r="C8" s="24">
        <f>COUNTA('04 Comercial'!I:I)-1</f>
        <v/>
      </c>
      <c r="D8" s="24">
        <f>COUNTIF('04 Comercial'!I:I,"Pendente")</f>
        <v/>
      </c>
      <c r="E8" s="24">
        <f>COUNTIF('04 Comercial'!I:I,"Em andamento")</f>
        <v/>
      </c>
      <c r="F8" s="24">
        <f>COUNTIF('04 Comercial'!I:I,"Passou")</f>
        <v/>
      </c>
      <c r="G8" s="24">
        <f>COUNTIF('04 Comercial'!I:I,"Falhou")</f>
        <v/>
      </c>
      <c r="H8" s="24">
        <f>COUNTIF('04 Comercial'!I:I,"Bloqueado")</f>
        <v/>
      </c>
      <c r="I8" s="25">
        <f>IFERROR(F8/C8,0)</f>
        <v/>
      </c>
    </row>
    <row r="9" ht="24" customHeight="1">
      <c r="B9" s="20" t="inlineStr">
        <is>
          <t>05 Operacao de Campanhas</t>
        </is>
      </c>
      <c r="C9" s="21">
        <f>COUNTA('05 Operacao de Campanhas'!I:I)-1</f>
        <v/>
      </c>
      <c r="D9" s="21">
        <f>COUNTIF('05 Operacao de Campanhas'!I:I,"Pendente")</f>
        <v/>
      </c>
      <c r="E9" s="21">
        <f>COUNTIF('05 Operacao de Campanhas'!I:I,"Em andamento")</f>
        <v/>
      </c>
      <c r="F9" s="21">
        <f>COUNTIF('05 Operacao de Campanhas'!I:I,"Passou")</f>
        <v/>
      </c>
      <c r="G9" s="21">
        <f>COUNTIF('05 Operacao de Campanhas'!I:I,"Falhou")</f>
        <v/>
      </c>
      <c r="H9" s="21">
        <f>COUNTIF('05 Operacao de Campanhas'!I:I,"Bloqueado")</f>
        <v/>
      </c>
      <c r="I9" s="22">
        <f>IFERROR(F9/C9,0)</f>
        <v/>
      </c>
    </row>
    <row r="10" ht="24" customHeight="1">
      <c r="B10" s="23" t="inlineStr">
        <is>
          <t>06 Financeiro</t>
        </is>
      </c>
      <c r="C10" s="24">
        <f>COUNTA('06 Financeiro'!I:I)-1</f>
        <v/>
      </c>
      <c r="D10" s="24">
        <f>COUNTIF('06 Financeiro'!I:I,"Pendente")</f>
        <v/>
      </c>
      <c r="E10" s="24">
        <f>COUNTIF('06 Financeiro'!I:I,"Em andamento")</f>
        <v/>
      </c>
      <c r="F10" s="24">
        <f>COUNTIF('06 Financeiro'!I:I,"Passou")</f>
        <v/>
      </c>
      <c r="G10" s="24">
        <f>COUNTIF('06 Financeiro'!I:I,"Falhou")</f>
        <v/>
      </c>
      <c r="H10" s="24">
        <f>COUNTIF('06 Financeiro'!I:I,"Bloqueado")</f>
        <v/>
      </c>
      <c r="I10" s="25">
        <f>IFERROR(F10/C10,0)</f>
        <v/>
      </c>
    </row>
    <row r="11" ht="24" customHeight="1">
      <c r="B11" s="20" t="inlineStr">
        <is>
          <t>07 Portal do Creator</t>
        </is>
      </c>
      <c r="C11" s="21">
        <f>COUNTA('07 Portal do Creator'!I:I)-1</f>
        <v/>
      </c>
      <c r="D11" s="21">
        <f>COUNTIF('07 Portal do Creator'!I:I,"Pendente")</f>
        <v/>
      </c>
      <c r="E11" s="21">
        <f>COUNTIF('07 Portal do Creator'!I:I,"Em andamento")</f>
        <v/>
      </c>
      <c r="F11" s="21">
        <f>COUNTIF('07 Portal do Creator'!I:I,"Passou")</f>
        <v/>
      </c>
      <c r="G11" s="21">
        <f>COUNTIF('07 Portal do Creator'!I:I,"Falhou")</f>
        <v/>
      </c>
      <c r="H11" s="21">
        <f>COUNTIF('07 Portal do Creator'!I:I,"Bloqueado")</f>
        <v/>
      </c>
      <c r="I11" s="22">
        <f>IFERROR(F11/C11,0)</f>
        <v/>
      </c>
    </row>
    <row r="12" ht="24" customHeight="1">
      <c r="B12" s="23" t="inlineStr">
        <is>
          <t>08 Sistema &amp; Regressao</t>
        </is>
      </c>
      <c r="C12" s="24">
        <f>COUNTA('08 Sistema &amp; Regressao'!I:I)-1</f>
        <v/>
      </c>
      <c r="D12" s="24">
        <f>COUNTIF('08 Sistema &amp; Regressao'!I:I,"Pendente")</f>
        <v/>
      </c>
      <c r="E12" s="24">
        <f>COUNTIF('08 Sistema &amp; Regressao'!I:I,"Em andamento")</f>
        <v/>
      </c>
      <c r="F12" s="24">
        <f>COUNTIF('08 Sistema &amp; Regressao'!I:I,"Passou")</f>
        <v/>
      </c>
      <c r="G12" s="24">
        <f>COUNTIF('08 Sistema &amp; Regressao'!I:I,"Falhou")</f>
        <v/>
      </c>
      <c r="H12" s="24">
        <f>COUNTIF('08 Sistema &amp; Regressao'!I:I,"Bloqueado")</f>
        <v/>
      </c>
      <c r="I12" s="25">
        <f>IFERROR(F12/C12,0)</f>
        <v/>
      </c>
    </row>
    <row r="13" ht="28" customHeight="1">
      <c r="B13" s="26" t="inlineStr">
        <is>
          <t>TOTAL GERAL</t>
        </is>
      </c>
      <c r="C13" s="27">
        <f>SUM(C5:C12)</f>
        <v/>
      </c>
      <c r="D13" s="27">
        <f>SUM(D5:D12)</f>
        <v/>
      </c>
      <c r="E13" s="27">
        <f>SUM(E5:E12)</f>
        <v/>
      </c>
      <c r="F13" s="27">
        <f>SUM(F5:F12)</f>
        <v/>
      </c>
      <c r="G13" s="27">
        <f>SUM(G5:G12)</f>
        <v/>
      </c>
      <c r="H13" s="27">
        <f>SUM(H5:H12)</f>
        <v/>
      </c>
      <c r="I13" s="28">
        <f>IFERROR(F13/C13,0)</f>
        <v/>
      </c>
    </row>
    <row r="16">
      <c r="B16" s="29" t="inlineStr">
        <is>
          <t>Cenarios marcados como Critico devem passar antes do lancamento.</t>
        </is>
      </c>
    </row>
  </sheetData>
  <mergeCells count="2">
    <mergeCell ref="B1:I1"/>
    <mergeCell ref="B16:I16"/>
  </mergeCells>
  <conditionalFormatting sqref="I5:I12">
    <cfRule type="dataBar" priority="1">
      <dataBar showValue="1">
        <cfvo type="num" val="0"/>
        <cfvo type="num" val="1"/>
        <color rgb="0000B3C7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12" customWidth="1" min="4" max="4"/>
    <col width="28" customWidth="1" min="5" max="5"/>
    <col width="28" customWidth="1" min="6" max="6"/>
    <col width="38" customWidth="1" min="7" max="7"/>
    <col width="36" customWidth="1" min="8" max="8"/>
    <col width="16" customWidth="1" min="9" max="9"/>
    <col width="30" customWidth="1" min="10" max="10"/>
  </cols>
  <sheetData>
    <row r="1" ht="32" customHeight="1">
      <c r="A1" s="30" t="inlineStr">
        <is>
          <t>01 AUTH &amp; PERMISSOES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28" customHeight="1">
      <c r="A3" s="19" t="inlineStr">
        <is>
          <t>ID</t>
        </is>
      </c>
      <c r="B3" s="19" t="inlineStr">
        <is>
          <t>Submodulo</t>
        </is>
      </c>
      <c r="C3" s="19" t="inlineStr">
        <is>
          <t>Cenario</t>
        </is>
      </c>
      <c r="D3" s="19" t="inlineStr">
        <is>
          <t>Tipo</t>
        </is>
      </c>
      <c r="E3" s="19" t="inlineStr">
        <is>
          <t>Rota</t>
        </is>
      </c>
      <c r="F3" s="19" t="inlineStr">
        <is>
          <t>Pre-requisitos</t>
        </is>
      </c>
      <c r="G3" s="19" t="inlineStr">
        <is>
          <t>Passos</t>
        </is>
      </c>
      <c r="H3" s="19" t="inlineStr">
        <is>
          <t>Resultado esperado</t>
        </is>
      </c>
      <c r="I3" s="19" t="inlineStr">
        <is>
          <t>Status</t>
        </is>
      </c>
      <c r="J3" s="19" t="inlineStr">
        <is>
          <t>Observacoes</t>
        </is>
      </c>
    </row>
    <row r="4" ht="56" customHeight="1">
      <c r="A4" s="31" t="inlineStr">
        <is>
          <t>A01</t>
        </is>
      </c>
      <c r="B4" s="32" t="inlineStr">
        <is>
          <t>Login</t>
        </is>
      </c>
      <c r="C4" s="32" t="inlineStr">
        <is>
          <t>Login inicial via IdM</t>
        </is>
      </c>
      <c r="D4" s="33" t="inlineStr">
        <is>
          <t>Happy</t>
        </is>
      </c>
      <c r="E4" s="32" t="inlineStr">
        <is>
          <t>/</t>
        </is>
      </c>
      <c r="F4" s="32" t="inlineStr">
        <is>
          <t>Usuario cadastrado no IdM com acesso ao contrato Kanvas</t>
        </is>
      </c>
      <c r="G4" s="32" t="inlineStr">
        <is>
          <t>1) Acessar / 2) Ser redirecionado ao IdM 3) Autenticar 4) Voltar em /callback</t>
        </is>
      </c>
      <c r="H4" s="32" t="inlineStr">
        <is>
          <t>Redireciona para Dashboard sem flash de pagina autenticada</t>
        </is>
      </c>
      <c r="I4" s="34" t="inlineStr">
        <is>
          <t>Pendente</t>
        </is>
      </c>
      <c r="J4" s="32" t="inlineStr"/>
    </row>
    <row r="5" ht="56" customHeight="1">
      <c r="A5" s="35" t="inlineStr">
        <is>
          <t>A02</t>
        </is>
      </c>
      <c r="B5" s="36" t="inlineStr">
        <is>
          <t>Login</t>
        </is>
      </c>
      <c r="C5" s="36" t="inlineStr">
        <is>
          <t>Logout limpa sessao</t>
        </is>
      </c>
      <c r="D5" s="33" t="inlineStr">
        <is>
          <t>Happy</t>
        </is>
      </c>
      <c r="E5" s="36" t="inlineStr">
        <is>
          <t>/</t>
        </is>
      </c>
      <c r="F5" s="36" t="inlineStr">
        <is>
          <t>Usuario logado</t>
        </is>
      </c>
      <c r="G5" s="36" t="inlineStr">
        <is>
          <t>1) Clicar em sair na navbar 2) Tentar voltar ao app</t>
        </is>
      </c>
      <c r="H5" s="36" t="inlineStr">
        <is>
          <t>Redireciona para IdM e exige novo login</t>
        </is>
      </c>
      <c r="I5" s="37" t="inlineStr">
        <is>
          <t>Pendente</t>
        </is>
      </c>
      <c r="J5" s="36" t="inlineStr"/>
    </row>
    <row r="6" ht="56" customHeight="1">
      <c r="A6" s="31" t="inlineStr">
        <is>
          <t>A03</t>
        </is>
      </c>
      <c r="B6" s="32" t="inlineStr">
        <is>
          <t>Login</t>
        </is>
      </c>
      <c r="C6" s="32" t="inlineStr">
        <is>
          <t>Refresh token automatico</t>
        </is>
      </c>
      <c r="D6" s="33" t="inlineStr">
        <is>
          <t>Happy</t>
        </is>
      </c>
      <c r="E6" s="32" t="inlineStr">
        <is>
          <t>/</t>
        </is>
      </c>
      <c r="F6" s="32" t="inlineStr">
        <is>
          <t>Usuario logado e accessToken proximo de expirar</t>
        </is>
      </c>
      <c r="G6" s="32" t="inlineStr">
        <is>
          <t>1) Aguardar accessToken expirar 2) Disparar requisicao autenticada</t>
        </is>
      </c>
      <c r="H6" s="32" t="inlineStr">
        <is>
          <t>Token e renovado sem expor erro 401 ao usuario</t>
        </is>
      </c>
      <c r="I6" s="34" t="inlineStr">
        <is>
          <t>Pendente</t>
        </is>
      </c>
      <c r="J6" s="32" t="inlineStr"/>
    </row>
    <row r="7" ht="56" customHeight="1">
      <c r="A7" s="35" t="inlineStr">
        <is>
          <t>A04</t>
        </is>
      </c>
      <c r="B7" s="36" t="inlineStr">
        <is>
          <t>Login</t>
        </is>
      </c>
      <c r="C7" s="36" t="inlineStr">
        <is>
          <t>Usuario sem acesso ao contrato</t>
        </is>
      </c>
      <c r="D7" s="38" t="inlineStr">
        <is>
          <t>Edge</t>
        </is>
      </c>
      <c r="E7" s="36" t="inlineStr">
        <is>
          <t>/</t>
        </is>
      </c>
      <c r="F7" s="36" t="inlineStr">
        <is>
          <t>Usuario IdM sem vinculo no contrato Kanvas</t>
        </is>
      </c>
      <c r="G7" s="36" t="inlineStr">
        <is>
          <t>1) Tentar logar</t>
        </is>
      </c>
      <c r="H7" s="36" t="inlineStr">
        <is>
          <t>Mensagem clara de acesso negado</t>
        </is>
      </c>
      <c r="I7" s="37" t="inlineStr">
        <is>
          <t>Pendente</t>
        </is>
      </c>
      <c r="J7" s="36" t="inlineStr"/>
    </row>
    <row r="8" ht="56" customHeight="1">
      <c r="A8" s="31" t="inlineStr">
        <is>
          <t>A05</t>
        </is>
      </c>
      <c r="B8" s="32" t="inlineStr">
        <is>
          <t>Login</t>
        </is>
      </c>
      <c r="C8" s="32" t="inlineStr">
        <is>
          <t>Multi-contrato (seletor)</t>
        </is>
      </c>
      <c r="D8" s="38" t="inlineStr">
        <is>
          <t>Edge</t>
        </is>
      </c>
      <c r="E8" s="32" t="inlineStr">
        <is>
          <t>/</t>
        </is>
      </c>
      <c r="F8" s="32" t="inlineStr">
        <is>
          <t>Usuario com acesso a 2+ contratos</t>
        </is>
      </c>
      <c r="G8" s="32" t="inlineStr">
        <is>
          <t>1) Logar 2) Selecionar contrato A 3) Logout 4) Logar contrato B</t>
        </is>
      </c>
      <c r="H8" s="32" t="inlineStr">
        <is>
          <t>Cada login isola dados do contrato correto</t>
        </is>
      </c>
      <c r="I8" s="34" t="inlineStr">
        <is>
          <t>Pendente</t>
        </is>
      </c>
      <c r="J8" s="32" t="inlineStr"/>
    </row>
    <row r="9" ht="56" customHeight="1">
      <c r="A9" s="35" t="inlineStr">
        <is>
          <t>A06</t>
        </is>
      </c>
      <c r="B9" s="36" t="inlineStr">
        <is>
          <t>Permissoes</t>
        </is>
      </c>
      <c r="C9" s="36" t="inlineStr">
        <is>
          <t>Usuario nao-root nao ve /usuarios</t>
        </is>
      </c>
      <c r="D9" s="38" t="inlineStr">
        <is>
          <t>Edge</t>
        </is>
      </c>
      <c r="E9" s="36" t="inlineStr">
        <is>
          <t>/usuarios</t>
        </is>
      </c>
      <c r="F9" s="36" t="inlineStr">
        <is>
          <t>Usuario logado sem claim root=true</t>
        </is>
      </c>
      <c r="G9" s="36" t="inlineStr">
        <is>
          <t>1) Acessar /usuarios diretamente</t>
        </is>
      </c>
      <c r="H9" s="36" t="inlineStr">
        <is>
          <t>Retorna 403 ou esconde menu</t>
        </is>
      </c>
      <c r="I9" s="37" t="inlineStr">
        <is>
          <t>Pendente</t>
        </is>
      </c>
      <c r="J9" s="36" t="inlineStr"/>
    </row>
    <row r="10" ht="56" customHeight="1">
      <c r="A10" s="31" t="inlineStr">
        <is>
          <t>A07</t>
        </is>
      </c>
      <c r="B10" s="32" t="inlineStr">
        <is>
          <t>Permissoes</t>
        </is>
      </c>
      <c r="C10" s="32" t="inlineStr">
        <is>
          <t>Endpoint sem permission retorna 403</t>
        </is>
      </c>
      <c r="D10" s="38" t="inlineStr">
        <is>
          <t>Edge</t>
        </is>
      </c>
      <c r="E10" s="32" t="inlineStr">
        <is>
          <t>-</t>
        </is>
      </c>
      <c r="F10" s="32" t="inlineStr">
        <is>
          <t>Usuario com role limitado</t>
        </is>
      </c>
      <c r="G10" s="32" t="inlineStr">
        <is>
          <t>1) Acessar acao sem permission claim correspondente</t>
        </is>
      </c>
      <c r="H10" s="32" t="inlineStr">
        <is>
          <t>Backend retorna 403 Forbidden</t>
        </is>
      </c>
      <c r="I10" s="34" t="inlineStr">
        <is>
          <t>Pendente</t>
        </is>
      </c>
      <c r="J10" s="32" t="inlineStr"/>
    </row>
  </sheetData>
  <autoFilter ref="A3:J10"/>
  <mergeCells count="1">
    <mergeCell ref="A1:J1"/>
  </mergeCells>
  <conditionalFormatting sqref="I4:I10">
    <cfRule type="cellIs" priority="1" operator="equal" dxfId="0">
      <formula>"Pendente"</formula>
    </cfRule>
    <cfRule type="cellIs" priority="2" operator="equal" dxfId="1">
      <formula>"Em andamento"</formula>
    </cfRule>
    <cfRule type="cellIs" priority="3" operator="equal" dxfId="2">
      <formula>"Passou"</formula>
    </cfRule>
    <cfRule type="cellIs" priority="4" operator="equal" dxfId="3">
      <formula>"Falhou"</formula>
    </cfRule>
    <cfRule type="cellIs" priority="5" operator="equal" dxfId="4">
      <formula>"Bloqueado"</formula>
    </cfRule>
    <cfRule type="cellIs" priority="6" operator="equal" dxfId="5">
      <formula>"N/A"</formula>
    </cfRule>
  </conditionalFormatting>
  <dataValidations count="1">
    <dataValidation sqref="I4:I10" showDropDown="0" showInputMessage="0" showErrorMessage="0" allowBlank="0" errorTitle="Status invalido" error="Selecione um status valido." promptTitle="Status" prompt="Selecione status" type="list">
      <formula1>"Pendente,Em andamento,Passou,Falhou,Bloqueado,N/A"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12" customWidth="1" min="4" max="4"/>
    <col width="28" customWidth="1" min="5" max="5"/>
    <col width="28" customWidth="1" min="6" max="6"/>
    <col width="38" customWidth="1" min="7" max="7"/>
    <col width="36" customWidth="1" min="8" max="8"/>
    <col width="16" customWidth="1" min="9" max="9"/>
    <col width="30" customWidth="1" min="10" max="10"/>
  </cols>
  <sheetData>
    <row r="1" ht="32" customHeight="1">
      <c r="A1" s="30" t="inlineStr">
        <is>
          <t>02 CONFIGURACAO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28" customHeight="1">
      <c r="A3" s="19" t="inlineStr">
        <is>
          <t>ID</t>
        </is>
      </c>
      <c r="B3" s="19" t="inlineStr">
        <is>
          <t>Submodulo</t>
        </is>
      </c>
      <c r="C3" s="19" t="inlineStr">
        <is>
          <t>Cenario</t>
        </is>
      </c>
      <c r="D3" s="19" t="inlineStr">
        <is>
          <t>Tipo</t>
        </is>
      </c>
      <c r="E3" s="19" t="inlineStr">
        <is>
          <t>Rota</t>
        </is>
      </c>
      <c r="F3" s="19" t="inlineStr">
        <is>
          <t>Pre-requisitos</t>
        </is>
      </c>
      <c r="G3" s="19" t="inlineStr">
        <is>
          <t>Passos</t>
        </is>
      </c>
      <c r="H3" s="19" t="inlineStr">
        <is>
          <t>Resultado esperado</t>
        </is>
      </c>
      <c r="I3" s="19" t="inlineStr">
        <is>
          <t>Status</t>
        </is>
      </c>
      <c r="J3" s="19" t="inlineStr">
        <is>
          <t>Observacoes</t>
        </is>
      </c>
    </row>
    <row r="4" ht="56" customHeight="1">
      <c r="A4" s="31" t="inlineStr">
        <is>
          <t>C01</t>
        </is>
      </c>
      <c r="B4" s="32" t="inlineStr">
        <is>
          <t>Pipeline</t>
        </is>
      </c>
      <c r="C4" s="32" t="inlineStr">
        <is>
          <t>Cadastrar estagios completos</t>
        </is>
      </c>
      <c r="D4" s="33" t="inlineStr">
        <is>
          <t>Happy</t>
        </is>
      </c>
      <c r="E4" s="32" t="inlineStr">
        <is>
          <t>/configuracao/pipeline-comercial</t>
        </is>
      </c>
      <c r="F4" s="32" t="inlineStr">
        <is>
          <t>Login root</t>
        </is>
      </c>
      <c r="G4" s="32" t="inlineStr">
        <is>
          <t>1) Criar Lead/Qualif/Proposta/Negociacao/Fechado-Ganho/Fechado-Perda 2) Definir FinalBehavior</t>
        </is>
      </c>
      <c r="H4" s="32" t="inlineStr">
        <is>
          <t>Estagios listados na ordem e com cores</t>
        </is>
      </c>
      <c r="I4" s="34" t="inlineStr">
        <is>
          <t>Pendente</t>
        </is>
      </c>
      <c r="J4" s="32" t="inlineStr"/>
    </row>
    <row r="5" ht="56" customHeight="1">
      <c r="A5" s="35" t="inlineStr">
        <is>
          <t>C02</t>
        </is>
      </c>
      <c r="B5" s="36" t="inlineStr">
        <is>
          <t>Pipeline</t>
        </is>
      </c>
      <c r="C5" s="36" t="inlineStr">
        <is>
          <t>Estagio sem FinalBehavior</t>
        </is>
      </c>
      <c r="D5" s="38" t="inlineStr">
        <is>
          <t>Edge</t>
        </is>
      </c>
      <c r="E5" s="36" t="inlineStr">
        <is>
          <t>/configuracao/pipeline-comercial</t>
        </is>
      </c>
      <c r="F5" s="36" t="inlineStr">
        <is>
          <t>-</t>
        </is>
      </c>
      <c r="G5" s="36" t="inlineStr">
        <is>
          <t>1) Tentar salvar estagio sem FinalBehavior</t>
        </is>
      </c>
      <c r="H5" s="36" t="inlineStr">
        <is>
          <t>Validacao impede ou assume EmAndamento</t>
        </is>
      </c>
      <c r="I5" s="37" t="inlineStr">
        <is>
          <t>Pendente</t>
        </is>
      </c>
      <c r="J5" s="36" t="inlineStr"/>
    </row>
    <row r="6" ht="56" customHeight="1">
      <c r="A6" s="31" t="inlineStr">
        <is>
          <t>C03</t>
        </is>
      </c>
      <c r="B6" s="32" t="inlineStr">
        <is>
          <t>Origens</t>
        </is>
      </c>
      <c r="C6" s="32" t="inlineStr">
        <is>
          <t>CRUD origem oportunidade</t>
        </is>
      </c>
      <c r="D6" s="33" t="inlineStr">
        <is>
          <t>Happy</t>
        </is>
      </c>
      <c r="E6" s="32" t="inlineStr">
        <is>
          <t>/configuracao/origens-oportunidade</t>
        </is>
      </c>
      <c r="F6" s="32" t="inlineStr">
        <is>
          <t>-</t>
        </is>
      </c>
      <c r="G6" s="32" t="inlineStr">
        <is>
          <t>1) Criar Indicacao 2) Criar LinkedIn 3) Editar 4) Excluir</t>
        </is>
      </c>
      <c r="H6" s="32" t="inlineStr">
        <is>
          <t>Lista atualiza apos cada operacao</t>
        </is>
      </c>
      <c r="I6" s="34" t="inlineStr">
        <is>
          <t>Pendente</t>
        </is>
      </c>
      <c r="J6" s="32" t="inlineStr"/>
    </row>
    <row r="7" ht="56" customHeight="1">
      <c r="A7" s="35" t="inlineStr">
        <is>
          <t>C04</t>
        </is>
      </c>
      <c r="B7" s="36" t="inlineStr">
        <is>
          <t>Tags</t>
        </is>
      </c>
      <c r="C7" s="36" t="inlineStr">
        <is>
          <t>CRUD de tags</t>
        </is>
      </c>
      <c r="D7" s="33" t="inlineStr">
        <is>
          <t>Happy</t>
        </is>
      </c>
      <c r="E7" s="36" t="inlineStr">
        <is>
          <t>/configuracao/tags-oportunidade</t>
        </is>
      </c>
      <c r="F7" s="36" t="inlineStr">
        <is>
          <t>-</t>
        </is>
      </c>
      <c r="G7" s="36" t="inlineStr">
        <is>
          <t>1) Criar 3 tags 2) Editar 3) Excluir uma usada</t>
        </is>
      </c>
      <c r="H7" s="36" t="inlineStr">
        <is>
          <t>Tag em uso bloqueia exclusao ou alerta</t>
        </is>
      </c>
      <c r="I7" s="37" t="inlineStr">
        <is>
          <t>Pendente</t>
        </is>
      </c>
      <c r="J7" s="36" t="inlineStr"/>
    </row>
    <row r="8" ht="56" customHeight="1">
      <c r="A8" s="31" t="inlineStr">
        <is>
          <t>C05</t>
        </is>
      </c>
      <c r="B8" s="32" t="inlineStr">
        <is>
          <t>Plataformas</t>
        </is>
      </c>
      <c r="C8" s="32" t="inlineStr">
        <is>
          <t>Cadastrar redes sociais</t>
        </is>
      </c>
      <c r="D8" s="33" t="inlineStr">
        <is>
          <t>Happy</t>
        </is>
      </c>
      <c r="E8" s="32" t="inlineStr">
        <is>
          <t>/configuracao/plataformas</t>
        </is>
      </c>
      <c r="F8" s="32" t="inlineStr">
        <is>
          <t>-</t>
        </is>
      </c>
      <c r="G8" s="32" t="inlineStr">
        <is>
          <t>1) Cadastrar Instagram TikTok YouTube</t>
        </is>
      </c>
      <c r="H8" s="32" t="inlineStr">
        <is>
          <t>Listadas e usaveis em creator</t>
        </is>
      </c>
      <c r="I8" s="34" t="inlineStr">
        <is>
          <t>Pendente</t>
        </is>
      </c>
      <c r="J8" s="32" t="inlineStr"/>
    </row>
    <row r="9" ht="56" customHeight="1">
      <c r="A9" s="35" t="inlineStr">
        <is>
          <t>C06</t>
        </is>
      </c>
      <c r="B9" s="36" t="inlineStr">
        <is>
          <t>Tipos entrega</t>
        </is>
      </c>
      <c r="C9" s="36" t="inlineStr">
        <is>
          <t>CRUD tipos de entrega</t>
        </is>
      </c>
      <c r="D9" s="33" t="inlineStr">
        <is>
          <t>Happy</t>
        </is>
      </c>
      <c r="E9" s="36" t="inlineStr">
        <is>
          <t>/configuracao/tipos-entrega</t>
        </is>
      </c>
      <c r="F9" s="36" t="inlineStr">
        <is>
          <t>-</t>
        </is>
      </c>
      <c r="G9" s="36" t="inlineStr">
        <is>
          <t>1) Cadastrar Post Story Reel Video</t>
        </is>
      </c>
      <c r="H9" s="36" t="inlineStr">
        <is>
          <t>Aparecem ao criar Deliverable</t>
        </is>
      </c>
      <c r="I9" s="37" t="inlineStr">
        <is>
          <t>Pendente</t>
        </is>
      </c>
      <c r="J9" s="36" t="inlineStr"/>
    </row>
    <row r="10" ht="56" customHeight="1">
      <c r="A10" s="31" t="inlineStr">
        <is>
          <t>C07</t>
        </is>
      </c>
      <c r="B10" s="32" t="inlineStr">
        <is>
          <t>Status creator</t>
        </is>
      </c>
      <c r="C10" s="32" t="inlineStr">
        <is>
          <t>CRUD status de creator</t>
        </is>
      </c>
      <c r="D10" s="33" t="inlineStr">
        <is>
          <t>Happy</t>
        </is>
      </c>
      <c r="E10" s="32" t="inlineStr">
        <is>
          <t>/configuracao/status-creators</t>
        </is>
      </c>
      <c r="F10" s="32" t="inlineStr">
        <is>
          <t>-</t>
        </is>
      </c>
      <c r="G10" s="32" t="inlineStr">
        <is>
          <t>1) Cadastrar Convidado Confirmado Recusado Substituido</t>
        </is>
      </c>
      <c r="H10" s="32" t="inlineStr">
        <is>
          <t>Aparecem em campanha</t>
        </is>
      </c>
      <c r="I10" s="34" t="inlineStr">
        <is>
          <t>Pendente</t>
        </is>
      </c>
      <c r="J10" s="32" t="inlineStr"/>
    </row>
    <row r="11" ht="56" customHeight="1">
      <c r="A11" s="35" t="inlineStr">
        <is>
          <t>C08</t>
        </is>
      </c>
      <c r="B11" s="36" t="inlineStr">
        <is>
          <t>Templates</t>
        </is>
      </c>
      <c r="C11" s="36" t="inlineStr">
        <is>
          <t>Criar template de proposta</t>
        </is>
      </c>
      <c r="D11" s="33" t="inlineStr">
        <is>
          <t>Happy</t>
        </is>
      </c>
      <c r="E11" s="36" t="inlineStr">
        <is>
          <t>/configuracao/templates-proposta</t>
        </is>
      </c>
      <c r="F11" s="36" t="inlineStr">
        <is>
          <t>-</t>
        </is>
      </c>
      <c r="G11" s="36" t="inlineStr">
        <is>
          <t>1) Criar template com blocos</t>
        </is>
      </c>
      <c r="H11" s="36" t="inlineStr">
        <is>
          <t>Selecionavel ao gerar proposta</t>
        </is>
      </c>
      <c r="I11" s="37" t="inlineStr">
        <is>
          <t>Pendente</t>
        </is>
      </c>
      <c r="J11" s="36" t="inlineStr"/>
    </row>
    <row r="12" ht="56" customHeight="1">
      <c r="A12" s="31" t="inlineStr">
        <is>
          <t>C09</t>
        </is>
      </c>
      <c r="B12" s="32" t="inlineStr">
        <is>
          <t>Templates</t>
        </is>
      </c>
      <c r="C12" s="32" t="inlineStr">
        <is>
          <t>Editor de template</t>
        </is>
      </c>
      <c r="D12" s="33" t="inlineStr">
        <is>
          <t>Happy</t>
        </is>
      </c>
      <c r="E12" s="32" t="inlineStr">
        <is>
          <t>/configuracao/template-proposta</t>
        </is>
      </c>
      <c r="F12" s="32" t="inlineStr">
        <is>
          <t>-</t>
        </is>
      </c>
      <c r="G12" s="32" t="inlineStr">
        <is>
          <t>1) Editar conteudo 2) Salvar 3) Visualizar preview</t>
        </is>
      </c>
      <c r="H12" s="32" t="inlineStr">
        <is>
          <t>Mudancas persistem e preview renderiza</t>
        </is>
      </c>
      <c r="I12" s="34" t="inlineStr">
        <is>
          <t>Pendente</t>
        </is>
      </c>
      <c r="J12" s="32" t="inlineStr"/>
    </row>
    <row r="13" ht="56" customHeight="1">
      <c r="A13" s="35" t="inlineStr">
        <is>
          <t>C10</t>
        </is>
      </c>
      <c r="B13" s="36" t="inlineStr">
        <is>
          <t>Templates</t>
        </is>
      </c>
      <c r="C13" s="36" t="inlineStr">
        <is>
          <t>Templates de documento de campanha</t>
        </is>
      </c>
      <c r="D13" s="33" t="inlineStr">
        <is>
          <t>Happy</t>
        </is>
      </c>
      <c r="E13" s="36" t="inlineStr">
        <is>
          <t>/configuracao/templates-documento</t>
        </is>
      </c>
      <c r="F13" s="36" t="inlineStr">
        <is>
          <t>-</t>
        </is>
      </c>
      <c r="G13" s="36" t="inlineStr">
        <is>
          <t>1) Cadastrar Briefing e Contrato</t>
        </is>
      </c>
      <c r="H13" s="36" t="inlineStr">
        <is>
          <t>Selecionavel em documento de campanha</t>
        </is>
      </c>
      <c r="I13" s="37" t="inlineStr">
        <is>
          <t>Pendente</t>
        </is>
      </c>
      <c r="J13" s="36" t="inlineStr"/>
    </row>
    <row r="14" ht="56" customHeight="1">
      <c r="A14" s="31" t="inlineStr">
        <is>
          <t>C11</t>
        </is>
      </c>
      <c r="B14" s="32" t="inlineStr">
        <is>
          <t>Blocos</t>
        </is>
      </c>
      <c r="C14" s="32" t="inlineStr">
        <is>
          <t>CRUD blocos de proposta</t>
        </is>
      </c>
      <c r="D14" s="33" t="inlineStr">
        <is>
          <t>Happy</t>
        </is>
      </c>
      <c r="E14" s="32" t="inlineStr">
        <is>
          <t>/configuracao/blocos-proposta</t>
        </is>
      </c>
      <c r="F14" s="32" t="inlineStr">
        <is>
          <t>-</t>
        </is>
      </c>
      <c r="G14" s="32" t="inlineStr">
        <is>
          <t>1) Criar apresentacao 2) Criar escopo</t>
        </is>
      </c>
      <c r="H14" s="32" t="inlineStr">
        <is>
          <t>Reutilizavel em templates</t>
        </is>
      </c>
      <c r="I14" s="34" t="inlineStr">
        <is>
          <t>Pendente</t>
        </is>
      </c>
      <c r="J14" s="32" t="inlineStr"/>
    </row>
    <row r="15" ht="56" customHeight="1">
      <c r="A15" s="35" t="inlineStr">
        <is>
          <t>C12</t>
        </is>
      </c>
      <c r="B15" s="36" t="inlineStr">
        <is>
          <t>Financeiro</t>
        </is>
      </c>
      <c r="C15" s="36" t="inlineStr">
        <is>
          <t>Conta bancaria</t>
        </is>
      </c>
      <c r="D15" s="33" t="inlineStr">
        <is>
          <t>Happy</t>
        </is>
      </c>
      <c r="E15" s="36" t="inlineStr">
        <is>
          <t>/configuracao/contas-financeiras</t>
        </is>
      </c>
      <c r="F15" s="36" t="inlineStr">
        <is>
          <t>-</t>
        </is>
      </c>
      <c r="G15" s="36" t="inlineStr">
        <is>
          <t>1) Cadastrar conta operacional</t>
        </is>
      </c>
      <c r="H15" s="36" t="inlineStr">
        <is>
          <t>Aparece em lancamentos financeiros</t>
        </is>
      </c>
      <c r="I15" s="37" t="inlineStr">
        <is>
          <t>Pendente</t>
        </is>
      </c>
      <c r="J15" s="36" t="inlineStr"/>
    </row>
    <row r="16" ht="56" customHeight="1">
      <c r="A16" s="31" t="inlineStr">
        <is>
          <t>C13</t>
        </is>
      </c>
      <c r="B16" s="32" t="inlineStr">
        <is>
          <t>Financeiro</t>
        </is>
      </c>
      <c r="C16" s="32" t="inlineStr">
        <is>
          <t>Subcategorias</t>
        </is>
      </c>
      <c r="D16" s="33" t="inlineStr">
        <is>
          <t>Happy</t>
        </is>
      </c>
      <c r="E16" s="32" t="inlineStr">
        <is>
          <t>/configuracao/subcategorias-financeiras</t>
        </is>
      </c>
      <c r="F16" s="32" t="inlineStr">
        <is>
          <t>-</t>
        </is>
      </c>
      <c r="G16" s="32" t="inlineStr">
        <is>
          <t>1) Cadastrar Receita campanha 2) Pagamento creator</t>
        </is>
      </c>
      <c r="H16" s="32" t="inlineStr">
        <is>
          <t>Aparecem ao classificar lancamentos</t>
        </is>
      </c>
      <c r="I16" s="34" t="inlineStr">
        <is>
          <t>Pendente</t>
        </is>
      </c>
      <c r="J16" s="32" t="inlineStr"/>
    </row>
    <row r="17" ht="56" customHeight="1">
      <c r="A17" s="35" t="inlineStr">
        <is>
          <t>C14</t>
        </is>
      </c>
      <c r="B17" s="36" t="inlineStr">
        <is>
          <t>Integracoes</t>
        </is>
      </c>
      <c r="C17" s="36" t="inlineStr">
        <is>
          <t>Cadastrar conector e-mail</t>
        </is>
      </c>
      <c r="D17" s="33" t="inlineStr">
        <is>
          <t>Happy</t>
        </is>
      </c>
      <c r="E17" s="36" t="inlineStr">
        <is>
          <t>/configuracao/integracoes</t>
        </is>
      </c>
      <c r="F17" s="36" t="inlineStr">
        <is>
          <t>Conector registrado no IntegrationPlataform</t>
        </is>
      </c>
      <c r="G17" s="36" t="inlineStr">
        <is>
          <t>1) Categoria 2) Integracao 3) Conector com parametros sensiveis</t>
        </is>
      </c>
      <c r="H17" s="36" t="inlineStr">
        <is>
          <t>Conector ativo e testavel</t>
        </is>
      </c>
      <c r="I17" s="37" t="inlineStr">
        <is>
          <t>Pendente</t>
        </is>
      </c>
      <c r="J17" s="36" t="inlineStr"/>
    </row>
    <row r="18" ht="56" customHeight="1">
      <c r="A18" s="31" t="inlineStr">
        <is>
          <t>C15</t>
        </is>
      </c>
      <c r="B18" s="32" t="inlineStr">
        <is>
          <t>Integracoes</t>
        </is>
      </c>
      <c r="C18" s="32" t="inlineStr">
        <is>
          <t>Campo sensivel renderiza como password</t>
        </is>
      </c>
      <c r="D18" s="38" t="inlineStr">
        <is>
          <t>Edge</t>
        </is>
      </c>
      <c r="E18" s="32" t="inlineStr">
        <is>
          <t>/configuracao/integracoes</t>
        </is>
      </c>
      <c r="F18" s="32" t="inlineStr">
        <is>
          <t>-</t>
        </is>
      </c>
      <c r="G18" s="32" t="inlineStr">
        <is>
          <t>1) Editar conector com campo apiKey/token/secret</t>
        </is>
      </c>
      <c r="H18" s="32" t="inlineStr">
        <is>
          <t>Campo mascarado com toggle Eye/EyeOff</t>
        </is>
      </c>
      <c r="I18" s="34" t="inlineStr">
        <is>
          <t>Pendente</t>
        </is>
      </c>
      <c r="J18" s="32" t="inlineStr"/>
    </row>
    <row r="19" ht="56" customHeight="1">
      <c r="A19" s="35" t="inlineStr">
        <is>
          <t>C16</t>
        </is>
      </c>
      <c r="B19" s="36" t="inlineStr">
        <is>
          <t>Integracoes</t>
        </is>
      </c>
      <c r="C19" s="36" t="inlineStr">
        <is>
          <t>Aba conectores - integracao nao carregada</t>
        </is>
      </c>
      <c r="D19" s="38" t="inlineStr">
        <is>
          <t>Edge</t>
        </is>
      </c>
      <c r="E19" s="36" t="inlineStr">
        <is>
          <t>/configuracao/integracoes</t>
        </is>
      </c>
      <c r="F19" s="36" t="inlineStr">
        <is>
          <t>-</t>
        </is>
      </c>
      <c r="G19" s="36" t="inlineStr">
        <is>
          <t>1) Listar quando integracao base nao carregada</t>
        </is>
      </c>
      <c r="H19" s="36" t="inlineStr">
        <is>
          <t>Tabela nao mostra ID cru (ver feedback_connectors_tab_issues)</t>
        </is>
      </c>
      <c r="I19" s="37" t="inlineStr">
        <is>
          <t>Pendente</t>
        </is>
      </c>
      <c r="J19" s="36" t="inlineStr"/>
    </row>
    <row r="20" ht="56" customHeight="1">
      <c r="A20" s="31" t="inlineStr">
        <is>
          <t>C17</t>
        </is>
      </c>
      <c r="B20" s="32" t="inlineStr">
        <is>
          <t>Agencia</t>
        </is>
      </c>
      <c r="C20" s="32" t="inlineStr">
        <is>
          <t>Dados da agencia</t>
        </is>
      </c>
      <c r="D20" s="33" t="inlineStr">
        <is>
          <t>Happy</t>
        </is>
      </c>
      <c r="E20" s="32" t="inlineStr">
        <is>
          <t>/configuracao</t>
        </is>
      </c>
      <c r="F20" s="32" t="inlineStr">
        <is>
          <t>-</t>
        </is>
      </c>
      <c r="G20" s="32" t="inlineStr">
        <is>
          <t>1) Editar logo dados fiscais e-mail padrao</t>
        </is>
      </c>
      <c r="H20" s="32" t="inlineStr">
        <is>
          <t>Persiste e reflete em propostas</t>
        </is>
      </c>
      <c r="I20" s="34" t="inlineStr">
        <is>
          <t>Pendente</t>
        </is>
      </c>
      <c r="J20" s="32" t="inlineStr"/>
    </row>
  </sheetData>
  <autoFilter ref="A3:J20"/>
  <mergeCells count="1">
    <mergeCell ref="A1:J1"/>
  </mergeCells>
  <conditionalFormatting sqref="I4:I20">
    <cfRule type="cellIs" priority="1" operator="equal" dxfId="0">
      <formula>"Pendente"</formula>
    </cfRule>
    <cfRule type="cellIs" priority="2" operator="equal" dxfId="1">
      <formula>"Em andamento"</formula>
    </cfRule>
    <cfRule type="cellIs" priority="3" operator="equal" dxfId="2">
      <formula>"Passou"</formula>
    </cfRule>
    <cfRule type="cellIs" priority="4" operator="equal" dxfId="3">
      <formula>"Falhou"</formula>
    </cfRule>
    <cfRule type="cellIs" priority="5" operator="equal" dxfId="4">
      <formula>"Bloqueado"</formula>
    </cfRule>
    <cfRule type="cellIs" priority="6" operator="equal" dxfId="5">
      <formula>"N/A"</formula>
    </cfRule>
  </conditionalFormatting>
  <dataValidations count="1">
    <dataValidation sqref="I4:I20" showDropDown="0" showInputMessage="0" showErrorMessage="0" allowBlank="0" errorTitle="Status invalido" error="Selecione um status valido." promptTitle="Status" prompt="Selecione status" type="list">
      <formula1>"Pendente,Em andamento,Passou,Falhou,Bloqueado,N/A"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12" customWidth="1" min="4" max="4"/>
    <col width="28" customWidth="1" min="5" max="5"/>
    <col width="28" customWidth="1" min="6" max="6"/>
    <col width="38" customWidth="1" min="7" max="7"/>
    <col width="36" customWidth="1" min="8" max="8"/>
    <col width="16" customWidth="1" min="9" max="9"/>
    <col width="30" customWidth="1" min="10" max="10"/>
  </cols>
  <sheetData>
    <row r="1" ht="32" customHeight="1">
      <c r="A1" s="30" t="inlineStr">
        <is>
          <t>03 MARCAS &amp; CREATORS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28" customHeight="1">
      <c r="A3" s="19" t="inlineStr">
        <is>
          <t>ID</t>
        </is>
      </c>
      <c r="B3" s="19" t="inlineStr">
        <is>
          <t>Submodulo</t>
        </is>
      </c>
      <c r="C3" s="19" t="inlineStr">
        <is>
          <t>Cenario</t>
        </is>
      </c>
      <c r="D3" s="19" t="inlineStr">
        <is>
          <t>Tipo</t>
        </is>
      </c>
      <c r="E3" s="19" t="inlineStr">
        <is>
          <t>Rota</t>
        </is>
      </c>
      <c r="F3" s="19" t="inlineStr">
        <is>
          <t>Pre-requisitos</t>
        </is>
      </c>
      <c r="G3" s="19" t="inlineStr">
        <is>
          <t>Passos</t>
        </is>
      </c>
      <c r="H3" s="19" t="inlineStr">
        <is>
          <t>Resultado esperado</t>
        </is>
      </c>
      <c r="I3" s="19" t="inlineStr">
        <is>
          <t>Status</t>
        </is>
      </c>
      <c r="J3" s="19" t="inlineStr">
        <is>
          <t>Observacoes</t>
        </is>
      </c>
    </row>
    <row r="4" ht="56" customHeight="1">
      <c r="A4" s="31" t="inlineStr">
        <is>
          <t>M01</t>
        </is>
      </c>
      <c r="B4" s="32" t="inlineStr">
        <is>
          <t>Marcas</t>
        </is>
      </c>
      <c r="C4" s="32" t="inlineStr">
        <is>
          <t>CRUD de marca</t>
        </is>
      </c>
      <c r="D4" s="33" t="inlineStr">
        <is>
          <t>Happy</t>
        </is>
      </c>
      <c r="E4" s="32" t="inlineStr">
        <is>
          <t>/marcas</t>
        </is>
      </c>
      <c r="F4" s="32" t="inlineStr">
        <is>
          <t>-</t>
        </is>
      </c>
      <c r="G4" s="32" t="inlineStr">
        <is>
          <t>1) Criar ACME 2) Editar contatos 3) Listar com filtro</t>
        </is>
      </c>
      <c r="H4" s="32" t="inlineStr">
        <is>
          <t>Marca persiste e filtros funcionam</t>
        </is>
      </c>
      <c r="I4" s="34" t="inlineStr">
        <is>
          <t>Pendente</t>
        </is>
      </c>
      <c r="J4" s="32" t="inlineStr"/>
    </row>
    <row r="5" ht="56" customHeight="1">
      <c r="A5" s="35" t="inlineStr">
        <is>
          <t>M02</t>
        </is>
      </c>
      <c r="B5" s="36" t="inlineStr">
        <is>
          <t>Marcas</t>
        </is>
      </c>
      <c r="C5" s="36" t="inlineStr">
        <is>
          <t>Marca com multiplos contatos</t>
        </is>
      </c>
      <c r="D5" s="33" t="inlineStr">
        <is>
          <t>Happy</t>
        </is>
      </c>
      <c r="E5" s="36" t="inlineStr">
        <is>
          <t>/marcas</t>
        </is>
      </c>
      <c r="F5" s="36" t="inlineStr">
        <is>
          <t>-</t>
        </is>
      </c>
      <c r="G5" s="36" t="inlineStr">
        <is>
          <t>1) Adicionar 3 contatos com papeis distintos</t>
        </is>
      </c>
      <c r="H5" s="36" t="inlineStr">
        <is>
          <t>Lista de contatos correta</t>
        </is>
      </c>
      <c r="I5" s="37" t="inlineStr">
        <is>
          <t>Pendente</t>
        </is>
      </c>
      <c r="J5" s="36" t="inlineStr"/>
    </row>
    <row r="6" ht="56" customHeight="1">
      <c r="A6" s="31" t="inlineStr">
        <is>
          <t>M03</t>
        </is>
      </c>
      <c r="B6" s="32" t="inlineStr">
        <is>
          <t>Marcas</t>
        </is>
      </c>
      <c r="C6" s="32" t="inlineStr">
        <is>
          <t>Excluir marca com oportunidade</t>
        </is>
      </c>
      <c r="D6" s="38" t="inlineStr">
        <is>
          <t>Edge</t>
        </is>
      </c>
      <c r="E6" s="32" t="inlineStr">
        <is>
          <t>/marcas</t>
        </is>
      </c>
      <c r="F6" s="32" t="inlineStr">
        <is>
          <t>Marca com oportunidade vinculada</t>
        </is>
      </c>
      <c r="G6" s="32" t="inlineStr">
        <is>
          <t>1) Tentar excluir</t>
        </is>
      </c>
      <c r="H6" s="32" t="inlineStr">
        <is>
          <t>Bloqueia ou alerta dependencias</t>
        </is>
      </c>
      <c r="I6" s="34" t="inlineStr">
        <is>
          <t>Pendente</t>
        </is>
      </c>
      <c r="J6" s="32" t="inlineStr"/>
    </row>
    <row r="7" ht="56" customHeight="1">
      <c r="A7" s="35" t="inlineStr">
        <is>
          <t>CR01</t>
        </is>
      </c>
      <c r="B7" s="36" t="inlineStr">
        <is>
          <t>Creators</t>
        </is>
      </c>
      <c r="C7" s="36" t="inlineStr">
        <is>
          <t>Cadastrar creator</t>
        </is>
      </c>
      <c r="D7" s="33" t="inlineStr">
        <is>
          <t>Happy</t>
        </is>
      </c>
      <c r="E7" s="36" t="inlineStr">
        <is>
          <t>/creators</t>
        </is>
      </c>
      <c r="F7" s="36" t="inlineStr">
        <is>
          <t>-</t>
        </is>
      </c>
      <c r="G7" s="36" t="inlineStr">
        <is>
          <t>1) Criar creator com handles e metricas</t>
        </is>
      </c>
      <c r="H7" s="36" t="inlineStr">
        <is>
          <t>Persiste e busca funciona</t>
        </is>
      </c>
      <c r="I7" s="37" t="inlineStr">
        <is>
          <t>Pendente</t>
        </is>
      </c>
      <c r="J7" s="36" t="inlineStr"/>
    </row>
    <row r="8" ht="56" customHeight="1">
      <c r="A8" s="31" t="inlineStr">
        <is>
          <t>CR02</t>
        </is>
      </c>
      <c r="B8" s="32" t="inlineStr">
        <is>
          <t>Creators</t>
        </is>
      </c>
      <c r="C8" s="32" t="inlineStr">
        <is>
          <t>Creator 360 (abas)</t>
        </is>
      </c>
      <c r="D8" s="33" t="inlineStr">
        <is>
          <t>Happy</t>
        </is>
      </c>
      <c r="E8" s="32" t="inlineStr">
        <is>
          <t>/creators/{id}</t>
        </is>
      </c>
      <c r="F8" s="32" t="inlineStr">
        <is>
          <t>Creator com historico</t>
        </is>
      </c>
      <c r="G8" s="32" t="inlineStr">
        <is>
          <t>1) Abrir detalhe 2) Navegar abas Campanhas/Financeiro/Historico</t>
        </is>
      </c>
      <c r="H8" s="32" t="inlineStr">
        <is>
          <t>Cards de metricas no header e tabs com contadores</t>
        </is>
      </c>
      <c r="I8" s="34" t="inlineStr">
        <is>
          <t>Pendente</t>
        </is>
      </c>
      <c r="J8" s="32" t="inlineStr"/>
    </row>
    <row r="9" ht="56" customHeight="1">
      <c r="A9" s="35" t="inlineStr">
        <is>
          <t>CR03</t>
        </is>
      </c>
      <c r="B9" s="36" t="inlineStr">
        <is>
          <t>Creators</t>
        </is>
      </c>
      <c r="C9" s="36" t="inlineStr">
        <is>
          <t>Dropdown de plataforma usa SearchableSelect</t>
        </is>
      </c>
      <c r="D9" s="33" t="inlineStr">
        <is>
          <t>Happy</t>
        </is>
      </c>
      <c r="E9" s="36" t="inlineStr">
        <is>
          <t>/creators</t>
        </is>
      </c>
      <c r="F9" s="36" t="inlineStr">
        <is>
          <t>Plataformas cadastradas</t>
        </is>
      </c>
      <c r="G9" s="36" t="inlineStr">
        <is>
          <t>1) Abrir form 2) Selecionar plataforma</t>
        </is>
      </c>
      <c r="H9" s="36" t="inlineStr">
        <is>
          <t>Dropdown com busca e sentinel para vazio</t>
        </is>
      </c>
      <c r="I9" s="37" t="inlineStr">
        <is>
          <t>Pendente</t>
        </is>
      </c>
      <c r="J9" s="36" t="inlineStr"/>
    </row>
    <row r="10" ht="56" customHeight="1">
      <c r="A10" s="31" t="inlineStr">
        <is>
          <t>CR04</t>
        </is>
      </c>
      <c r="B10" s="32" t="inlineStr">
        <is>
          <t>Creators</t>
        </is>
      </c>
      <c r="C10" s="32" t="inlineStr">
        <is>
          <t>Creator sem handle social</t>
        </is>
      </c>
      <c r="D10" s="38" t="inlineStr">
        <is>
          <t>Edge</t>
        </is>
      </c>
      <c r="E10" s="32" t="inlineStr">
        <is>
          <t>/creators</t>
        </is>
      </c>
      <c r="F10" s="32" t="inlineStr">
        <is>
          <t>-</t>
        </is>
      </c>
      <c r="G10" s="32" t="inlineStr">
        <is>
          <t>1) Criar creator sem handle</t>
        </is>
      </c>
      <c r="H10" s="32" t="inlineStr">
        <is>
          <t>Validacao requer pelo menos 1 ou permite vazio</t>
        </is>
      </c>
      <c r="I10" s="34" t="inlineStr">
        <is>
          <t>Pendente</t>
        </is>
      </c>
      <c r="J10" s="32" t="inlineStr"/>
    </row>
    <row r="11" ht="56" customHeight="1">
      <c r="A11" s="35" t="inlineStr">
        <is>
          <t>CR05</t>
        </is>
      </c>
      <c r="B11" s="36" t="inlineStr">
        <is>
          <t>Creators</t>
        </is>
      </c>
      <c r="C11" s="36" t="inlineStr">
        <is>
          <t>Acao em massa</t>
        </is>
      </c>
      <c r="D11" s="33" t="inlineStr">
        <is>
          <t>Happy</t>
        </is>
      </c>
      <c r="E11" s="36" t="inlineStr">
        <is>
          <t>/creators</t>
        </is>
      </c>
      <c r="F11" s="36" t="inlineStr">
        <is>
          <t>-</t>
        </is>
      </c>
      <c r="G11" s="36" t="inlineStr">
        <is>
          <t>1) Selecionar varios 2) Acao em massa</t>
        </is>
      </c>
      <c r="H11" s="36" t="inlineStr">
        <is>
          <t>Funciona se feature implementada</t>
        </is>
      </c>
      <c r="I11" s="37" t="inlineStr">
        <is>
          <t>Pendente</t>
        </is>
      </c>
      <c r="J11" s="36" t="inlineStr"/>
    </row>
  </sheetData>
  <autoFilter ref="A3:J11"/>
  <mergeCells count="1">
    <mergeCell ref="A1:J1"/>
  </mergeCells>
  <conditionalFormatting sqref="I4:I11">
    <cfRule type="cellIs" priority="1" operator="equal" dxfId="0">
      <formula>"Pendente"</formula>
    </cfRule>
    <cfRule type="cellIs" priority="2" operator="equal" dxfId="1">
      <formula>"Em andamento"</formula>
    </cfRule>
    <cfRule type="cellIs" priority="3" operator="equal" dxfId="2">
      <formula>"Passou"</formula>
    </cfRule>
    <cfRule type="cellIs" priority="4" operator="equal" dxfId="3">
      <formula>"Falhou"</formula>
    </cfRule>
    <cfRule type="cellIs" priority="5" operator="equal" dxfId="4">
      <formula>"Bloqueado"</formula>
    </cfRule>
    <cfRule type="cellIs" priority="6" operator="equal" dxfId="5">
      <formula>"N/A"</formula>
    </cfRule>
  </conditionalFormatting>
  <dataValidations count="1">
    <dataValidation sqref="I4:I11" showDropDown="0" showInputMessage="0" showErrorMessage="0" allowBlank="0" errorTitle="Status invalido" error="Selecione um status valido." promptTitle="Status" prompt="Selecione status" type="list">
      <formula1>"Pendente,Em andamento,Passou,Falhou,Bloqueado,N/A"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12" customWidth="1" min="4" max="4"/>
    <col width="28" customWidth="1" min="5" max="5"/>
    <col width="28" customWidth="1" min="6" max="6"/>
    <col width="38" customWidth="1" min="7" max="7"/>
    <col width="36" customWidth="1" min="8" max="8"/>
    <col width="16" customWidth="1" min="9" max="9"/>
    <col width="30" customWidth="1" min="10" max="10"/>
  </cols>
  <sheetData>
    <row r="1" ht="32" customHeight="1">
      <c r="A1" s="30" t="inlineStr">
        <is>
          <t>04 COMERCIAL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28" customHeight="1">
      <c r="A3" s="19" t="inlineStr">
        <is>
          <t>ID</t>
        </is>
      </c>
      <c r="B3" s="19" t="inlineStr">
        <is>
          <t>Submodulo</t>
        </is>
      </c>
      <c r="C3" s="19" t="inlineStr">
        <is>
          <t>Cenario</t>
        </is>
      </c>
      <c r="D3" s="19" t="inlineStr">
        <is>
          <t>Tipo</t>
        </is>
      </c>
      <c r="E3" s="19" t="inlineStr">
        <is>
          <t>Rota</t>
        </is>
      </c>
      <c r="F3" s="19" t="inlineStr">
        <is>
          <t>Pre-requisitos</t>
        </is>
      </c>
      <c r="G3" s="19" t="inlineStr">
        <is>
          <t>Passos</t>
        </is>
      </c>
      <c r="H3" s="19" t="inlineStr">
        <is>
          <t>Resultado esperado</t>
        </is>
      </c>
      <c r="I3" s="19" t="inlineStr">
        <is>
          <t>Status</t>
        </is>
      </c>
      <c r="J3" s="19" t="inlineStr">
        <is>
          <t>Observacoes</t>
        </is>
      </c>
    </row>
    <row r="4" ht="56" customHeight="1">
      <c r="A4" s="31" t="inlineStr">
        <is>
          <t>O01</t>
        </is>
      </c>
      <c r="B4" s="32" t="inlineStr">
        <is>
          <t>Oportunidades</t>
        </is>
      </c>
      <c r="C4" s="32" t="inlineStr">
        <is>
          <t>Criar oportunidade</t>
        </is>
      </c>
      <c r="D4" s="33" t="inlineStr">
        <is>
          <t>Happy</t>
        </is>
      </c>
      <c r="E4" s="32" t="inlineStr">
        <is>
          <t>/comercial/oportunidades</t>
        </is>
      </c>
      <c r="F4" s="32" t="inlineStr">
        <is>
          <t>Marca ACME e origens cadastradas</t>
        </is>
      </c>
      <c r="G4" s="32" t="inlineStr">
        <is>
          <t>1) Marca 2) Origem 3) Responsavel 4) Valor 5) Tags</t>
        </is>
      </c>
      <c r="H4" s="32" t="inlineStr">
        <is>
          <t>Lista atualiza com novo card</t>
        </is>
      </c>
      <c r="I4" s="34" t="inlineStr">
        <is>
          <t>Pendente</t>
        </is>
      </c>
      <c r="J4" s="32" t="inlineStr"/>
    </row>
    <row r="5" ht="56" customHeight="1">
      <c r="A5" s="35" t="inlineStr">
        <is>
          <t>O02</t>
        </is>
      </c>
      <c r="B5" s="36" t="inlineStr">
        <is>
          <t>Oportunidades</t>
        </is>
      </c>
      <c r="C5" s="36" t="inlineStr">
        <is>
          <t>Detalhe da oportunidade</t>
        </is>
      </c>
      <c r="D5" s="33" t="inlineStr">
        <is>
          <t>Happy</t>
        </is>
      </c>
      <c r="E5" s="36" t="inlineStr">
        <is>
          <t>/comercial/oportunidades/{id}</t>
        </is>
      </c>
      <c r="F5" s="36" t="inlineStr">
        <is>
          <t>Oportunidade criada</t>
        </is>
      </c>
      <c r="G5" s="36" t="inlineStr">
        <is>
          <t>1) Abrir 2) Conferir follow-up/comentarios/historico/proposta</t>
        </is>
      </c>
      <c r="H5" s="36" t="inlineStr">
        <is>
          <t>Cards de metricas no header</t>
        </is>
      </c>
      <c r="I5" s="37" t="inlineStr">
        <is>
          <t>Pendente</t>
        </is>
      </c>
      <c r="J5" s="36" t="inlineStr"/>
    </row>
    <row r="6" ht="56" customHeight="1">
      <c r="A6" s="31" t="inlineStr">
        <is>
          <t>O03</t>
        </is>
      </c>
      <c r="B6" s="32" t="inlineStr">
        <is>
          <t>Oportunidades</t>
        </is>
      </c>
      <c r="C6" s="32" t="inlineStr">
        <is>
          <t>Comentario na oportunidade</t>
        </is>
      </c>
      <c r="D6" s="33" t="inlineStr">
        <is>
          <t>Happy</t>
        </is>
      </c>
      <c r="E6" s="32" t="inlineStr">
        <is>
          <t>/comercial/oportunidades/{id}</t>
        </is>
      </c>
      <c r="F6" s="32" t="inlineStr">
        <is>
          <t>-</t>
        </is>
      </c>
      <c r="G6" s="32" t="inlineStr">
        <is>
          <t>1) Adicionar comentario</t>
        </is>
      </c>
      <c r="H6" s="32" t="inlineStr">
        <is>
          <t>Aparece com autor e timestamp</t>
        </is>
      </c>
      <c r="I6" s="34" t="inlineStr">
        <is>
          <t>Pendente</t>
        </is>
      </c>
      <c r="J6" s="32" t="inlineStr"/>
    </row>
    <row r="7" ht="56" customHeight="1">
      <c r="A7" s="35" t="inlineStr">
        <is>
          <t>O04</t>
        </is>
      </c>
      <c r="B7" s="36" t="inlineStr">
        <is>
          <t>Oportunidades</t>
        </is>
      </c>
      <c r="C7" s="36" t="inlineStr">
        <is>
          <t>Listar com filtros</t>
        </is>
      </c>
      <c r="D7" s="33" t="inlineStr">
        <is>
          <t>Happy</t>
        </is>
      </c>
      <c r="E7" s="36" t="inlineStr">
        <is>
          <t>/comercial/oportunidades</t>
        </is>
      </c>
      <c r="F7" s="36" t="inlineStr">
        <is>
          <t>Varias oportunidades</t>
        </is>
      </c>
      <c r="G7" s="36" t="inlineStr">
        <is>
          <t>1) Filtrar por estagio 2) Responsavel 3) Tag</t>
        </is>
      </c>
      <c r="H7" s="36" t="inlineStr">
        <is>
          <t>Resultados coerentes</t>
        </is>
      </c>
      <c r="I7" s="37" t="inlineStr">
        <is>
          <t>Pendente</t>
        </is>
      </c>
      <c r="J7" s="36" t="inlineStr"/>
    </row>
    <row r="8" ht="56" customHeight="1">
      <c r="A8" s="31" t="inlineStr">
        <is>
          <t>O05</t>
        </is>
      </c>
      <c r="B8" s="32" t="inlineStr">
        <is>
          <t>Oportunidades</t>
        </is>
      </c>
      <c r="C8" s="32" t="inlineStr">
        <is>
          <t>Busca textual</t>
        </is>
      </c>
      <c r="D8" s="33" t="inlineStr">
        <is>
          <t>Happy</t>
        </is>
      </c>
      <c r="E8" s="32" t="inlineStr">
        <is>
          <t>/comercial/oportunidades</t>
        </is>
      </c>
      <c r="F8" s="32" t="inlineStr">
        <is>
          <t>-</t>
        </is>
      </c>
      <c r="G8" s="32" t="inlineStr">
        <is>
          <t>1) Buscar nome da marca</t>
        </is>
      </c>
      <c r="H8" s="32" t="inlineStr">
        <is>
          <t>Encontra rapidamente</t>
        </is>
      </c>
      <c r="I8" s="34" t="inlineStr">
        <is>
          <t>Pendente</t>
        </is>
      </c>
      <c r="J8" s="32" t="inlineStr"/>
    </row>
    <row r="9" ht="56" customHeight="1">
      <c r="A9" s="35" t="inlineStr">
        <is>
          <t>O06</t>
        </is>
      </c>
      <c r="B9" s="36" t="inlineStr">
        <is>
          <t>Pipeline</t>
        </is>
      </c>
      <c r="C9" s="36" t="inlineStr">
        <is>
          <t>Arrastar oportunidade no kanban</t>
        </is>
      </c>
      <c r="D9" s="33" t="inlineStr">
        <is>
          <t>Happy</t>
        </is>
      </c>
      <c r="E9" s="36" t="inlineStr">
        <is>
          <t>/comercial/pipeline</t>
        </is>
      </c>
      <c r="F9" s="36" t="inlineStr">
        <is>
          <t>Oportunidade existente</t>
        </is>
      </c>
      <c r="G9" s="36" t="inlineStr">
        <is>
          <t>1) Arrastar de Lead para Qualificacao</t>
        </is>
      </c>
      <c r="H9" s="36" t="inlineStr">
        <is>
          <t>Gera entrada em historico de estagio</t>
        </is>
      </c>
      <c r="I9" s="37" t="inlineStr">
        <is>
          <t>Pendente</t>
        </is>
      </c>
      <c r="J9" s="36" t="inlineStr"/>
    </row>
    <row r="10" ht="56" customHeight="1">
      <c r="A10" s="31" t="inlineStr">
        <is>
          <t>O07</t>
        </is>
      </c>
      <c r="B10" s="32" t="inlineStr">
        <is>
          <t>Pipeline</t>
        </is>
      </c>
      <c r="C10" s="32" t="inlineStr">
        <is>
          <t>Mover para Sucesso</t>
        </is>
      </c>
      <c r="D10" s="33" t="inlineStr">
        <is>
          <t>Happy</t>
        </is>
      </c>
      <c r="E10" s="32" t="inlineStr">
        <is>
          <t>/comercial/pipeline</t>
        </is>
      </c>
      <c r="F10" s="32" t="inlineStr">
        <is>
          <t>Oportunidade com proposta aprovada</t>
        </is>
      </c>
      <c r="G10" s="32" t="inlineStr">
        <is>
          <t>1) Mover para Fechado-Ganho</t>
        </is>
      </c>
      <c r="H10" s="32" t="inlineStr">
        <is>
          <t>Dispara opportunity_won</t>
        </is>
      </c>
      <c r="I10" s="34" t="inlineStr">
        <is>
          <t>Pendente</t>
        </is>
      </c>
      <c r="J10" s="32" t="inlineStr"/>
    </row>
    <row r="11" ht="56" customHeight="1">
      <c r="A11" s="35" t="inlineStr">
        <is>
          <t>O08</t>
        </is>
      </c>
      <c r="B11" s="36" t="inlineStr">
        <is>
          <t>Pipeline</t>
        </is>
      </c>
      <c r="C11" s="36" t="inlineStr">
        <is>
          <t>Mover para Perda</t>
        </is>
      </c>
      <c r="D11" s="33" t="inlineStr">
        <is>
          <t>Happy</t>
        </is>
      </c>
      <c r="E11" s="36" t="inlineStr">
        <is>
          <t>/comercial/pipeline</t>
        </is>
      </c>
      <c r="F11" s="36" t="inlineStr">
        <is>
          <t>-</t>
        </is>
      </c>
      <c r="G11" s="36" t="inlineStr">
        <is>
          <t>1) Mover para Fechado-Perda</t>
        </is>
      </c>
      <c r="H11" s="36" t="inlineStr">
        <is>
          <t>Dispara opportunity_lost com motivo opcional</t>
        </is>
      </c>
      <c r="I11" s="37" t="inlineStr">
        <is>
          <t>Pendente</t>
        </is>
      </c>
      <c r="J11" s="36" t="inlineStr"/>
    </row>
    <row r="12" ht="56" customHeight="1">
      <c r="A12" s="31" t="inlineStr">
        <is>
          <t>O09</t>
        </is>
      </c>
      <c r="B12" s="32" t="inlineStr">
        <is>
          <t>Pipeline</t>
        </is>
      </c>
      <c r="C12" s="32" t="inlineStr">
        <is>
          <t>Reordenar dentro do estagio</t>
        </is>
      </c>
      <c r="D12" s="38" t="inlineStr">
        <is>
          <t>Edge</t>
        </is>
      </c>
      <c r="E12" s="32" t="inlineStr">
        <is>
          <t>/comercial/pipeline</t>
        </is>
      </c>
      <c r="F12" s="32" t="inlineStr">
        <is>
          <t>Multiplas oportunidades no mesmo estagio</t>
        </is>
      </c>
      <c r="G12" s="32" t="inlineStr">
        <is>
          <t>1) Arrastar dentro da coluna</t>
        </is>
      </c>
      <c r="H12" s="32" t="inlineStr">
        <is>
          <t>Ordem persiste apos refresh</t>
        </is>
      </c>
      <c r="I12" s="34" t="inlineStr">
        <is>
          <t>Pendente</t>
        </is>
      </c>
      <c r="J12" s="32" t="inlineStr"/>
    </row>
    <row r="13" ht="56" customHeight="1">
      <c r="A13" s="35" t="inlineStr">
        <is>
          <t>F01</t>
        </is>
      </c>
      <c r="B13" s="36" t="inlineStr">
        <is>
          <t>Follow-ups</t>
        </is>
      </c>
      <c r="C13" s="36" t="inlineStr">
        <is>
          <t>Criar follow-up futuro</t>
        </is>
      </c>
      <c r="D13" s="33" t="inlineStr">
        <is>
          <t>Happy</t>
        </is>
      </c>
      <c r="E13" s="36" t="inlineStr">
        <is>
          <t>/comercial/followups</t>
        </is>
      </c>
      <c r="F13" s="36" t="inlineStr">
        <is>
          <t>Oportunidade existente</t>
        </is>
      </c>
      <c r="G13" s="36" t="inlineStr">
        <is>
          <t>1) Criar com data futura</t>
        </is>
      </c>
      <c r="H13" s="36" t="inlineStr">
        <is>
          <t>Aparece com cor neutra</t>
        </is>
      </c>
      <c r="I13" s="37" t="inlineStr">
        <is>
          <t>Pendente</t>
        </is>
      </c>
      <c r="J13" s="36" t="inlineStr"/>
    </row>
    <row r="14" ht="56" customHeight="1">
      <c r="A14" s="31" t="inlineStr">
        <is>
          <t>F02</t>
        </is>
      </c>
      <c r="B14" s="32" t="inlineStr">
        <is>
          <t>Follow-ups</t>
        </is>
      </c>
      <c r="C14" s="32" t="inlineStr">
        <is>
          <t>Follow-up vencido</t>
        </is>
      </c>
      <c r="D14" s="38" t="inlineStr">
        <is>
          <t>Edge</t>
        </is>
      </c>
      <c r="E14" s="32" t="inlineStr">
        <is>
          <t>/comercial/followups</t>
        </is>
      </c>
      <c r="F14" s="32" t="inlineStr">
        <is>
          <t>-</t>
        </is>
      </c>
      <c r="G14" s="32" t="inlineStr">
        <is>
          <t>1) Criar com data passada</t>
        </is>
      </c>
      <c r="H14" s="32" t="inlineStr">
        <is>
          <t>Destaque visual e dispara follow_up_overdue</t>
        </is>
      </c>
      <c r="I14" s="34" t="inlineStr">
        <is>
          <t>Pendente</t>
        </is>
      </c>
      <c r="J14" s="32" t="inlineStr"/>
    </row>
    <row r="15" ht="56" customHeight="1">
      <c r="A15" s="35" t="inlineStr">
        <is>
          <t>F03</t>
        </is>
      </c>
      <c r="B15" s="36" t="inlineStr">
        <is>
          <t>Follow-ups</t>
        </is>
      </c>
      <c r="C15" s="36" t="inlineStr">
        <is>
          <t>Concluir follow-up</t>
        </is>
      </c>
      <c r="D15" s="33" t="inlineStr">
        <is>
          <t>Happy</t>
        </is>
      </c>
      <c r="E15" s="36" t="inlineStr">
        <is>
          <t>/comercial/followups</t>
        </is>
      </c>
      <c r="F15" s="36" t="inlineStr">
        <is>
          <t>-</t>
        </is>
      </c>
      <c r="G15" s="36" t="inlineStr">
        <is>
          <t>1) Marcar como concluido</t>
        </is>
      </c>
      <c r="H15" s="36" t="inlineStr">
        <is>
          <t>Some da lista de pendentes</t>
        </is>
      </c>
      <c r="I15" s="37" t="inlineStr">
        <is>
          <t>Pendente</t>
        </is>
      </c>
      <c r="J15" s="36" t="inlineStr"/>
    </row>
    <row r="16" ht="56" customHeight="1">
      <c r="A16" s="31" t="inlineStr">
        <is>
          <t>P01</t>
        </is>
      </c>
      <c r="B16" s="32" t="inlineStr">
        <is>
          <t>Propostas</t>
        </is>
      </c>
      <c r="C16" s="32" t="inlineStr">
        <is>
          <t>Gerar proposta</t>
        </is>
      </c>
      <c r="D16" s="33" t="inlineStr">
        <is>
          <t>Happy</t>
        </is>
      </c>
      <c r="E16" s="32" t="inlineStr">
        <is>
          <t>/comercial/propostas</t>
        </is>
      </c>
      <c r="F16" s="32" t="inlineStr">
        <is>
          <t>Template e oportunidade prontos</t>
        </is>
      </c>
      <c r="G16" s="32" t="inlineStr">
        <is>
          <t>1) Criar 2) Selecionar template 3) Itens valor validade</t>
        </is>
      </c>
      <c r="H16" s="32" t="inlineStr">
        <is>
          <t>Persiste e gera versao v1</t>
        </is>
      </c>
      <c r="I16" s="34" t="inlineStr">
        <is>
          <t>Pendente</t>
        </is>
      </c>
      <c r="J16" s="32" t="inlineStr"/>
    </row>
    <row r="17" ht="56" customHeight="1">
      <c r="A17" s="35" t="inlineStr">
        <is>
          <t>P02</t>
        </is>
      </c>
      <c r="B17" s="36" t="inlineStr">
        <is>
          <t>Propostas</t>
        </is>
      </c>
      <c r="C17" s="36" t="inlineStr">
        <is>
          <t>Detalhe da proposta</t>
        </is>
      </c>
      <c r="D17" s="33" t="inlineStr">
        <is>
          <t>Happy</t>
        </is>
      </c>
      <c r="E17" s="36" t="inlineStr">
        <is>
          <t>/comercial/propostas/{id}</t>
        </is>
      </c>
      <c r="F17" s="36" t="inlineStr">
        <is>
          <t>-</t>
        </is>
      </c>
      <c r="G17" s="36" t="inlineStr">
        <is>
          <t>1) Conferir blocos 2) Conferir totais</t>
        </is>
      </c>
      <c r="H17" s="36" t="inlineStr">
        <is>
          <t>Calculos batem com itens</t>
        </is>
      </c>
      <c r="I17" s="37" t="inlineStr">
        <is>
          <t>Pendente</t>
        </is>
      </c>
      <c r="J17" s="36" t="inlineStr"/>
    </row>
    <row r="18" ht="56" customHeight="1">
      <c r="A18" s="31" t="inlineStr">
        <is>
          <t>P03</t>
        </is>
      </c>
      <c r="B18" s="32" t="inlineStr">
        <is>
          <t>Propostas</t>
        </is>
      </c>
      <c r="C18" s="32" t="inlineStr">
        <is>
          <t>Gerar PDF</t>
        </is>
      </c>
      <c r="D18" s="33" t="inlineStr">
        <is>
          <t>Happy</t>
        </is>
      </c>
      <c r="E18" s="32" t="inlineStr">
        <is>
          <t>/comercial/propostas/{id}</t>
        </is>
      </c>
      <c r="F18" s="32" t="inlineStr">
        <is>
          <t>-</t>
        </is>
      </c>
      <c r="G18" s="32" t="inlineStr">
        <is>
          <t>1) Botao gerar PDF</t>
        </is>
      </c>
      <c r="H18" s="32" t="inlineStr">
        <is>
          <t>PDF baixa formatado (PDFsharp/MigraDoc)</t>
        </is>
      </c>
      <c r="I18" s="34" t="inlineStr">
        <is>
          <t>Pendente</t>
        </is>
      </c>
      <c r="J18" s="32" t="inlineStr"/>
    </row>
    <row r="19" ht="56" customHeight="1">
      <c r="A19" s="35" t="inlineStr">
        <is>
          <t>P04</t>
        </is>
      </c>
      <c r="B19" s="36" t="inlineStr">
        <is>
          <t>Propostas</t>
        </is>
      </c>
      <c r="C19" s="36" t="inlineStr">
        <is>
          <t>Versionamento</t>
        </is>
      </c>
      <c r="D19" s="33" t="inlineStr">
        <is>
          <t>Happy</t>
        </is>
      </c>
      <c r="E19" s="36" t="inlineStr">
        <is>
          <t>/comercial/propostas/{id}</t>
        </is>
      </c>
      <c r="F19" s="36" t="inlineStr">
        <is>
          <t>-</t>
        </is>
      </c>
      <c r="G19" s="36" t="inlineStr">
        <is>
          <t>1) Editar 2) Salvar como nova versao</t>
        </is>
      </c>
      <c r="H19" s="36" t="inlineStr">
        <is>
          <t>v2 criada preservando v1</t>
        </is>
      </c>
      <c r="I19" s="37" t="inlineStr">
        <is>
          <t>Pendente</t>
        </is>
      </c>
      <c r="J19" s="36" t="inlineStr"/>
    </row>
    <row r="20" ht="56" customHeight="1">
      <c r="A20" s="31" t="inlineStr">
        <is>
          <t>P05</t>
        </is>
      </c>
      <c r="B20" s="32" t="inlineStr">
        <is>
          <t>Propostas</t>
        </is>
      </c>
      <c r="C20" s="32" t="inlineStr">
        <is>
          <t>Link publico</t>
        </is>
      </c>
      <c r="D20" s="33" t="inlineStr">
        <is>
          <t>Happy</t>
        </is>
      </c>
      <c r="E20" s="32" t="inlineStr">
        <is>
          <t>/p/{token}</t>
        </is>
      </c>
      <c r="F20" s="32" t="inlineStr">
        <is>
          <t>Proposta gerada</t>
        </is>
      </c>
      <c r="G20" s="32" t="inlineStr">
        <is>
          <t>1) Copiar link 2) Abrir em aba anonima</t>
        </is>
      </c>
      <c r="H20" s="32" t="inlineStr">
        <is>
          <t>Renderiza sem auth</t>
        </is>
      </c>
      <c r="I20" s="34" t="inlineStr">
        <is>
          <t>Pendente</t>
        </is>
      </c>
      <c r="J20" s="32" t="inlineStr"/>
    </row>
    <row r="21" ht="56" customHeight="1">
      <c r="A21" s="35" t="inlineStr">
        <is>
          <t>P06</t>
        </is>
      </c>
      <c r="B21" s="36" t="inlineStr">
        <is>
          <t>Propostas</t>
        </is>
      </c>
      <c r="C21" s="36" t="inlineStr">
        <is>
          <t>Tracking de visualizacao</t>
        </is>
      </c>
      <c r="D21" s="33" t="inlineStr">
        <is>
          <t>Happy</t>
        </is>
      </c>
      <c r="E21" s="36" t="inlineStr">
        <is>
          <t>/p/{token}</t>
        </is>
      </c>
      <c r="F21" s="36" t="inlineStr">
        <is>
          <t>-</t>
        </is>
      </c>
      <c r="G21" s="36" t="inlineStr">
        <is>
          <t>1) Abrir link da marca</t>
        </is>
      </c>
      <c r="H21" s="36" t="inlineStr">
        <is>
          <t>Registra proposal_viewed com timestamp</t>
        </is>
      </c>
      <c r="I21" s="37" t="inlineStr">
        <is>
          <t>Pendente</t>
        </is>
      </c>
      <c r="J21" s="36" t="inlineStr"/>
    </row>
    <row r="22" ht="56" customHeight="1">
      <c r="A22" s="31" t="inlineStr">
        <is>
          <t>P07</t>
        </is>
      </c>
      <c r="B22" s="32" t="inlineStr">
        <is>
          <t>Propostas</t>
        </is>
      </c>
      <c r="C22" s="32" t="inlineStr">
        <is>
          <t>Aprovar via link publico</t>
        </is>
      </c>
      <c r="D22" s="33" t="inlineStr">
        <is>
          <t>Happy</t>
        </is>
      </c>
      <c r="E22" s="32" t="inlineStr">
        <is>
          <t>/p/{token}</t>
        </is>
      </c>
      <c r="F22" s="32" t="inlineStr">
        <is>
          <t>-</t>
        </is>
      </c>
      <c r="G22" s="32" t="inlineStr">
        <is>
          <t>1) Clicar aprovar 2) Confirmar</t>
        </is>
      </c>
      <c r="H22" s="32" t="inlineStr">
        <is>
          <t>Dispara proposal_approved + cria campanha</t>
        </is>
      </c>
      <c r="I22" s="34" t="inlineStr">
        <is>
          <t>Pendente</t>
        </is>
      </c>
      <c r="J22" s="32" t="inlineStr"/>
    </row>
    <row r="23" ht="56" customHeight="1">
      <c r="A23" s="35" t="inlineStr">
        <is>
          <t>P08</t>
        </is>
      </c>
      <c r="B23" s="36" t="inlineStr">
        <is>
          <t>Propostas</t>
        </is>
      </c>
      <c r="C23" s="36" t="inlineStr">
        <is>
          <t>Recusar via link publico</t>
        </is>
      </c>
      <c r="D23" s="38" t="inlineStr">
        <is>
          <t>Edge</t>
        </is>
      </c>
      <c r="E23" s="36" t="inlineStr">
        <is>
          <t>/p/{token}</t>
        </is>
      </c>
      <c r="F23" s="36" t="inlineStr">
        <is>
          <t>-</t>
        </is>
      </c>
      <c r="G23" s="36" t="inlineStr">
        <is>
          <t>1) Clicar recusar com motivo</t>
        </is>
      </c>
      <c r="H23" s="36" t="inlineStr">
        <is>
          <t>Status volta a Negociacao</t>
        </is>
      </c>
      <c r="I23" s="37" t="inlineStr">
        <is>
          <t>Pendente</t>
        </is>
      </c>
      <c r="J23" s="36" t="inlineStr"/>
    </row>
    <row r="24" ht="56" customHeight="1">
      <c r="A24" s="31" t="inlineStr">
        <is>
          <t>P09</t>
        </is>
      </c>
      <c r="B24" s="32" t="inlineStr">
        <is>
          <t>Propostas</t>
        </is>
      </c>
      <c r="C24" s="32" t="inlineStr">
        <is>
          <t>Solicitar ajuste via link</t>
        </is>
      </c>
      <c r="D24" s="38" t="inlineStr">
        <is>
          <t>Edge</t>
        </is>
      </c>
      <c r="E24" s="32" t="inlineStr">
        <is>
          <t>/p/{token}</t>
        </is>
      </c>
      <c r="F24" s="32" t="inlineStr">
        <is>
          <t>-</t>
        </is>
      </c>
      <c r="G24" s="32" t="inlineStr">
        <is>
          <t>1) Marca pede alteracao</t>
        </is>
      </c>
      <c r="H24" s="32" t="inlineStr">
        <is>
          <t>Notifica responsavel comercial</t>
        </is>
      </c>
      <c r="I24" s="34" t="inlineStr">
        <is>
          <t>Pendente</t>
        </is>
      </c>
      <c r="J24" s="32" t="inlineStr"/>
    </row>
    <row r="25" ht="56" customHeight="1">
      <c r="A25" s="35" t="inlineStr">
        <is>
          <t>P10</t>
        </is>
      </c>
      <c r="B25" s="36" t="inlineStr">
        <is>
          <t>Propostas</t>
        </is>
      </c>
      <c r="C25" s="36" t="inlineStr">
        <is>
          <t>Link expirado/invalido</t>
        </is>
      </c>
      <c r="D25" s="38" t="inlineStr">
        <is>
          <t>Edge</t>
        </is>
      </c>
      <c r="E25" s="36" t="inlineStr">
        <is>
          <t>/p/{token}</t>
        </is>
      </c>
      <c r="F25" s="36" t="inlineStr">
        <is>
          <t>Token invalido</t>
        </is>
      </c>
      <c r="G25" s="36" t="inlineStr">
        <is>
          <t>1) Acessar link adulterado</t>
        </is>
      </c>
      <c r="H25" s="36" t="inlineStr">
        <is>
          <t>Mensagem clara, nao 500</t>
        </is>
      </c>
      <c r="I25" s="37" t="inlineStr">
        <is>
          <t>Pendente</t>
        </is>
      </c>
      <c r="J25" s="36" t="inlineStr"/>
    </row>
    <row r="26" ht="56" customHeight="1">
      <c r="A26" s="31" t="inlineStr">
        <is>
          <t>P11</t>
        </is>
      </c>
      <c r="B26" s="32" t="inlineStr">
        <is>
          <t>Propostas</t>
        </is>
      </c>
      <c r="C26" s="32" t="inlineStr">
        <is>
          <t>Aprovacao interna de desconto</t>
        </is>
      </c>
      <c r="D26" s="38" t="inlineStr">
        <is>
          <t>Edge</t>
        </is>
      </c>
      <c r="E26" s="32" t="inlineStr">
        <is>
          <t>/comercial/aprovacoes</t>
        </is>
      </c>
      <c r="F26" s="32" t="inlineStr">
        <is>
          <t>Proposta com desconto acima do limite</t>
        </is>
      </c>
      <c r="G26" s="32" t="inlineStr">
        <is>
          <t>1) Verificar fila 2) Aprovar</t>
        </is>
      </c>
      <c r="H26" s="32" t="inlineStr">
        <is>
          <t>Libera envio da proposta</t>
        </is>
      </c>
      <c r="I26" s="34" t="inlineStr">
        <is>
          <t>Pendente</t>
        </is>
      </c>
      <c r="J26" s="32" t="inlineStr"/>
    </row>
    <row r="27" ht="56" customHeight="1">
      <c r="A27" s="35" t="inlineStr">
        <is>
          <t>P12</t>
        </is>
      </c>
      <c r="B27" s="36" t="inlineStr">
        <is>
          <t>Propostas</t>
        </is>
      </c>
      <c r="C27" s="36" t="inlineStr">
        <is>
          <t>Conversao em campanha</t>
        </is>
      </c>
      <c r="D27" s="39" t="inlineStr">
        <is>
          <t>Critico</t>
        </is>
      </c>
      <c r="E27" s="36" t="inlineStr">
        <is>
          <t>-</t>
        </is>
      </c>
      <c r="F27" s="36" t="inlineStr">
        <is>
          <t>Proposta aprovada</t>
        </is>
      </c>
      <c r="G27" s="36" t="inlineStr">
        <is>
          <t>1) Aprovacao 2) Conferir lista de campanhas</t>
        </is>
      </c>
      <c r="H27" s="36" t="inlineStr">
        <is>
          <t>Campanha criada com dados herdados</t>
        </is>
      </c>
      <c r="I27" s="37" t="inlineStr">
        <is>
          <t>Pendente</t>
        </is>
      </c>
      <c r="J27" s="36" t="inlineStr"/>
    </row>
  </sheetData>
  <autoFilter ref="A3:J27"/>
  <mergeCells count="1">
    <mergeCell ref="A1:J1"/>
  </mergeCells>
  <conditionalFormatting sqref="I4:I27">
    <cfRule type="cellIs" priority="1" operator="equal" dxfId="0">
      <formula>"Pendente"</formula>
    </cfRule>
    <cfRule type="cellIs" priority="2" operator="equal" dxfId="1">
      <formula>"Em andamento"</formula>
    </cfRule>
    <cfRule type="cellIs" priority="3" operator="equal" dxfId="2">
      <formula>"Passou"</formula>
    </cfRule>
    <cfRule type="cellIs" priority="4" operator="equal" dxfId="3">
      <formula>"Falhou"</formula>
    </cfRule>
    <cfRule type="cellIs" priority="5" operator="equal" dxfId="4">
      <formula>"Bloqueado"</formula>
    </cfRule>
    <cfRule type="cellIs" priority="6" operator="equal" dxfId="5">
      <formula>"N/A"</formula>
    </cfRule>
  </conditionalFormatting>
  <dataValidations count="1">
    <dataValidation sqref="I4:I27" showDropDown="0" showInputMessage="0" showErrorMessage="0" allowBlank="0" errorTitle="Status invalido" error="Selecione um status valido." promptTitle="Status" prompt="Selecione status" type="list">
      <formula1>"Pendente,Em andamento,Passou,Falhou,Bloqueado,N/A"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12" customWidth="1" min="4" max="4"/>
    <col width="28" customWidth="1" min="5" max="5"/>
    <col width="28" customWidth="1" min="6" max="6"/>
    <col width="38" customWidth="1" min="7" max="7"/>
    <col width="36" customWidth="1" min="8" max="8"/>
    <col width="16" customWidth="1" min="9" max="9"/>
    <col width="30" customWidth="1" min="10" max="10"/>
  </cols>
  <sheetData>
    <row r="1" ht="32" customHeight="1">
      <c r="A1" s="30" t="inlineStr">
        <is>
          <t>05 OPERACAO DE CAMPANHAS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28" customHeight="1">
      <c r="A3" s="19" t="inlineStr">
        <is>
          <t>ID</t>
        </is>
      </c>
      <c r="B3" s="19" t="inlineStr">
        <is>
          <t>Submodulo</t>
        </is>
      </c>
      <c r="C3" s="19" t="inlineStr">
        <is>
          <t>Cenario</t>
        </is>
      </c>
      <c r="D3" s="19" t="inlineStr">
        <is>
          <t>Tipo</t>
        </is>
      </c>
      <c r="E3" s="19" t="inlineStr">
        <is>
          <t>Rota</t>
        </is>
      </c>
      <c r="F3" s="19" t="inlineStr">
        <is>
          <t>Pre-requisitos</t>
        </is>
      </c>
      <c r="G3" s="19" t="inlineStr">
        <is>
          <t>Passos</t>
        </is>
      </c>
      <c r="H3" s="19" t="inlineStr">
        <is>
          <t>Resultado esperado</t>
        </is>
      </c>
      <c r="I3" s="19" t="inlineStr">
        <is>
          <t>Status</t>
        </is>
      </c>
      <c r="J3" s="19" t="inlineStr">
        <is>
          <t>Observacoes</t>
        </is>
      </c>
    </row>
    <row r="4" ht="56" customHeight="1">
      <c r="A4" s="31" t="inlineStr">
        <is>
          <t>CP01</t>
        </is>
      </c>
      <c r="B4" s="32" t="inlineStr">
        <is>
          <t>Campanhas</t>
        </is>
      </c>
      <c r="C4" s="32" t="inlineStr">
        <is>
          <t>Listar campanhas</t>
        </is>
      </c>
      <c r="D4" s="33" t="inlineStr">
        <is>
          <t>Happy</t>
        </is>
      </c>
      <c r="E4" s="32" t="inlineStr">
        <is>
          <t>/campanhas</t>
        </is>
      </c>
      <c r="F4" s="32" t="inlineStr">
        <is>
          <t>Pelo menos 1 campanha</t>
        </is>
      </c>
      <c r="G4" s="32" t="inlineStr">
        <is>
          <t>1) Abrir lista</t>
        </is>
      </c>
      <c r="H4" s="32" t="inlineStr">
        <is>
          <t>Filtros e busca funcionando</t>
        </is>
      </c>
      <c r="I4" s="34" t="inlineStr">
        <is>
          <t>Pendente</t>
        </is>
      </c>
      <c r="J4" s="32" t="inlineStr"/>
    </row>
    <row r="5" ht="56" customHeight="1">
      <c r="A5" s="35" t="inlineStr">
        <is>
          <t>CP02</t>
        </is>
      </c>
      <c r="B5" s="36" t="inlineStr">
        <is>
          <t>Campanhas</t>
        </is>
      </c>
      <c r="C5" s="36" t="inlineStr">
        <is>
          <t>Detalhe da campanha</t>
        </is>
      </c>
      <c r="D5" s="33" t="inlineStr">
        <is>
          <t>Happy</t>
        </is>
      </c>
      <c r="E5" s="36" t="inlineStr">
        <is>
          <t>/campanhas/{id}</t>
        </is>
      </c>
      <c r="F5" s="36" t="inlineStr">
        <is>
          <t>-</t>
        </is>
      </c>
      <c r="G5" s="36" t="inlineStr">
        <is>
          <t>1) Conferir abas e metricas no header</t>
        </is>
      </c>
      <c r="H5" s="36" t="inlineStr">
        <is>
          <t>Cards e abas com contadores</t>
        </is>
      </c>
      <c r="I5" s="37" t="inlineStr">
        <is>
          <t>Pendente</t>
        </is>
      </c>
      <c r="J5" s="36" t="inlineStr"/>
    </row>
    <row r="6" ht="56" customHeight="1">
      <c r="A6" s="31" t="inlineStr">
        <is>
          <t>CP03</t>
        </is>
      </c>
      <c r="B6" s="32" t="inlineStr">
        <is>
          <t>Campanhas</t>
        </is>
      </c>
      <c r="C6" s="32" t="inlineStr">
        <is>
          <t>Adicionar creators</t>
        </is>
      </c>
      <c r="D6" s="33" t="inlineStr">
        <is>
          <t>Happy</t>
        </is>
      </c>
      <c r="E6" s="32" t="inlineStr">
        <is>
          <t>/campanhas/{id}</t>
        </is>
      </c>
      <c r="F6" s="32" t="inlineStr">
        <is>
          <t>Creators cadastrados</t>
        </is>
      </c>
      <c r="G6" s="32" t="inlineStr">
        <is>
          <t>1) Adicionar 2-3 creators 2) Definir valor combinado</t>
        </is>
      </c>
      <c r="H6" s="32" t="inlineStr">
        <is>
          <t>Aparecem com status Convidado</t>
        </is>
      </c>
      <c r="I6" s="34" t="inlineStr">
        <is>
          <t>Pendente</t>
        </is>
      </c>
      <c r="J6" s="32" t="inlineStr"/>
    </row>
    <row r="7" ht="56" customHeight="1">
      <c r="A7" s="35" t="inlineStr">
        <is>
          <t>CP04</t>
        </is>
      </c>
      <c r="B7" s="36" t="inlineStr">
        <is>
          <t>Campanhas</t>
        </is>
      </c>
      <c r="C7" s="36" t="inlineStr">
        <is>
          <t>Trocar status do creator</t>
        </is>
      </c>
      <c r="D7" s="33" t="inlineStr">
        <is>
          <t>Happy</t>
        </is>
      </c>
      <c r="E7" s="36" t="inlineStr">
        <is>
          <t>/campanhas/{id}</t>
        </is>
      </c>
      <c r="F7" s="36" t="inlineStr">
        <is>
          <t>Creator na campanha</t>
        </is>
      </c>
      <c r="G7" s="36" t="inlineStr">
        <is>
          <t>1) Convidado -&gt; Confirmado</t>
        </is>
      </c>
      <c r="H7" s="36" t="inlineStr">
        <is>
          <t>Status atualiza com auditoria</t>
        </is>
      </c>
      <c r="I7" s="37" t="inlineStr">
        <is>
          <t>Pendente</t>
        </is>
      </c>
      <c r="J7" s="36" t="inlineStr"/>
    </row>
    <row r="8" ht="56" customHeight="1">
      <c r="A8" s="31" t="inlineStr">
        <is>
          <t>CP05</t>
        </is>
      </c>
      <c r="B8" s="32" t="inlineStr">
        <is>
          <t>Campanhas</t>
        </is>
      </c>
      <c r="C8" s="32" t="inlineStr">
        <is>
          <t>Substituir creator</t>
        </is>
      </c>
      <c r="D8" s="38" t="inlineStr">
        <is>
          <t>Edge</t>
        </is>
      </c>
      <c r="E8" s="32" t="inlineStr">
        <is>
          <t>/campanhas/{id}</t>
        </is>
      </c>
      <c r="F8" s="32" t="inlineStr">
        <is>
          <t>-</t>
        </is>
      </c>
      <c r="G8" s="32" t="inlineStr">
        <is>
          <t>1) Marcar Substituido 2) Adicionar substituto</t>
        </is>
      </c>
      <c r="H8" s="32" t="inlineStr">
        <is>
          <t>Historico mantem ambos</t>
        </is>
      </c>
      <c r="I8" s="34" t="inlineStr">
        <is>
          <t>Pendente</t>
        </is>
      </c>
      <c r="J8" s="32" t="inlineStr"/>
    </row>
    <row r="9" ht="56" customHeight="1">
      <c r="A9" s="35" t="inlineStr">
        <is>
          <t>CP06</t>
        </is>
      </c>
      <c r="B9" s="36" t="inlineStr">
        <is>
          <t>Campanhas</t>
        </is>
      </c>
      <c r="C9" s="36" t="inlineStr">
        <is>
          <t>Subir documento via template</t>
        </is>
      </c>
      <c r="D9" s="33" t="inlineStr">
        <is>
          <t>Happy</t>
        </is>
      </c>
      <c r="E9" s="36" t="inlineStr">
        <is>
          <t>/campanhas/{id}</t>
        </is>
      </c>
      <c r="F9" s="36" t="inlineStr">
        <is>
          <t>Template cadastrado</t>
        </is>
      </c>
      <c r="G9" s="36" t="inlineStr">
        <is>
          <t>1) Subir Briefing 2) Subir Contrato</t>
        </is>
      </c>
      <c r="H9" s="36" t="inlineStr">
        <is>
          <t>Lista atualiza com versionamento</t>
        </is>
      </c>
      <c r="I9" s="37" t="inlineStr">
        <is>
          <t>Pendente</t>
        </is>
      </c>
      <c r="J9" s="36" t="inlineStr"/>
    </row>
    <row r="10" ht="56" customHeight="1">
      <c r="A10" s="31" t="inlineStr">
        <is>
          <t>CP07</t>
        </is>
      </c>
      <c r="B10" s="32" t="inlineStr">
        <is>
          <t>Campanhas</t>
        </is>
      </c>
      <c r="C10" s="32" t="inlineStr">
        <is>
          <t>Excluir campanha em andamento</t>
        </is>
      </c>
      <c r="D10" s="38" t="inlineStr">
        <is>
          <t>Edge</t>
        </is>
      </c>
      <c r="E10" s="32" t="inlineStr">
        <is>
          <t>/campanhas/{id}</t>
        </is>
      </c>
      <c r="F10" s="32" t="inlineStr">
        <is>
          <t>Campanha com deliverables</t>
        </is>
      </c>
      <c r="G10" s="32" t="inlineStr">
        <is>
          <t>1) Tentar excluir</t>
        </is>
      </c>
      <c r="H10" s="32" t="inlineStr">
        <is>
          <t>Bloqueia ou alerta</t>
        </is>
      </c>
      <c r="I10" s="34" t="inlineStr">
        <is>
          <t>Pendente</t>
        </is>
      </c>
      <c r="J10" s="32" t="inlineStr"/>
    </row>
    <row r="11" ht="56" customHeight="1">
      <c r="A11" s="35" t="inlineStr">
        <is>
          <t>D01</t>
        </is>
      </c>
      <c r="B11" s="36" t="inlineStr">
        <is>
          <t>Deliverables</t>
        </is>
      </c>
      <c r="C11" s="36" t="inlineStr">
        <is>
          <t>Criar deliverable</t>
        </is>
      </c>
      <c r="D11" s="33" t="inlineStr">
        <is>
          <t>Happy</t>
        </is>
      </c>
      <c r="E11" s="36" t="inlineStr">
        <is>
          <t>/campanhas/{id}</t>
        </is>
      </c>
      <c r="F11" s="36" t="inlineStr">
        <is>
          <t>Creator na campanha</t>
        </is>
      </c>
      <c r="G11" s="36" t="inlineStr">
        <is>
          <t>1) Tipo data valor</t>
        </is>
      </c>
      <c r="H11" s="36" t="inlineStr">
        <is>
          <t>Aparece na lista da campanha</t>
        </is>
      </c>
      <c r="I11" s="37" t="inlineStr">
        <is>
          <t>Pendente</t>
        </is>
      </c>
      <c r="J11" s="36" t="inlineStr"/>
    </row>
    <row r="12" ht="56" customHeight="1">
      <c r="A12" s="31" t="inlineStr">
        <is>
          <t>D02</t>
        </is>
      </c>
      <c r="B12" s="32" t="inlineStr">
        <is>
          <t>Deliverables</t>
        </is>
      </c>
      <c r="C12" s="32" t="inlineStr">
        <is>
          <t>Enviar para aprovacao</t>
        </is>
      </c>
      <c r="D12" s="33" t="inlineStr">
        <is>
          <t>Happy</t>
        </is>
      </c>
      <c r="E12" s="32" t="inlineStr">
        <is>
          <t>/campanhas/{id}</t>
        </is>
      </c>
      <c r="F12" s="32" t="inlineStr">
        <is>
          <t>Deliverable criado</t>
        </is>
      </c>
      <c r="G12" s="32" t="inlineStr">
        <is>
          <t>1) Anexar conteudo 2) Enviar</t>
        </is>
      </c>
      <c r="H12" s="32" t="inlineStr">
        <is>
          <t>Gera /d/{token} + dispara deliverable_pending_approval</t>
        </is>
      </c>
      <c r="I12" s="34" t="inlineStr">
        <is>
          <t>Pendente</t>
        </is>
      </c>
      <c r="J12" s="32" t="inlineStr"/>
    </row>
    <row r="13" ht="56" customHeight="1">
      <c r="A13" s="35" t="inlineStr">
        <is>
          <t>D03</t>
        </is>
      </c>
      <c r="B13" s="36" t="inlineStr">
        <is>
          <t>Deliverables</t>
        </is>
      </c>
      <c r="C13" s="36" t="inlineStr">
        <is>
          <t>Link publico</t>
        </is>
      </c>
      <c r="D13" s="33" t="inlineStr">
        <is>
          <t>Happy</t>
        </is>
      </c>
      <c r="E13" s="36" t="inlineStr">
        <is>
          <t>/d/{token}</t>
        </is>
      </c>
      <c r="F13" s="36" t="inlineStr">
        <is>
          <t>-</t>
        </is>
      </c>
      <c r="G13" s="36" t="inlineStr">
        <is>
          <t>1) Abrir em aba anonima</t>
        </is>
      </c>
      <c r="H13" s="36" t="inlineStr">
        <is>
          <t>Renderiza sem auth com conteudo</t>
        </is>
      </c>
      <c r="I13" s="37" t="inlineStr">
        <is>
          <t>Pendente</t>
        </is>
      </c>
      <c r="J13" s="36" t="inlineStr"/>
    </row>
    <row r="14" ht="56" customHeight="1">
      <c r="A14" s="31" t="inlineStr">
        <is>
          <t>D04</t>
        </is>
      </c>
      <c r="B14" s="32" t="inlineStr">
        <is>
          <t>Deliverables</t>
        </is>
      </c>
      <c r="C14" s="32" t="inlineStr">
        <is>
          <t>Aprovar via link publico</t>
        </is>
      </c>
      <c r="D14" s="33" t="inlineStr">
        <is>
          <t>Happy</t>
        </is>
      </c>
      <c r="E14" s="32" t="inlineStr">
        <is>
          <t>/d/{token}</t>
        </is>
      </c>
      <c r="F14" s="32" t="inlineStr">
        <is>
          <t>-</t>
        </is>
      </c>
      <c r="G14" s="32" t="inlineStr">
        <is>
          <t>1) Aprovar</t>
        </is>
      </c>
      <c r="H14" s="32" t="inlineStr">
        <is>
          <t>Dispara deliverable_approved + notificacao</t>
        </is>
      </c>
      <c r="I14" s="34" t="inlineStr">
        <is>
          <t>Pendente</t>
        </is>
      </c>
      <c r="J14" s="32" t="inlineStr"/>
    </row>
    <row r="15" ht="56" customHeight="1">
      <c r="A15" s="35" t="inlineStr">
        <is>
          <t>D05</t>
        </is>
      </c>
      <c r="B15" s="36" t="inlineStr">
        <is>
          <t>Deliverables</t>
        </is>
      </c>
      <c r="C15" s="36" t="inlineStr">
        <is>
          <t>Recusar via link publico</t>
        </is>
      </c>
      <c r="D15" s="38" t="inlineStr">
        <is>
          <t>Edge</t>
        </is>
      </c>
      <c r="E15" s="36" t="inlineStr">
        <is>
          <t>/d/{token}</t>
        </is>
      </c>
      <c r="F15" s="36" t="inlineStr">
        <is>
          <t>-</t>
        </is>
      </c>
      <c r="G15" s="36" t="inlineStr">
        <is>
          <t>1) Recusar com motivo</t>
        </is>
      </c>
      <c r="H15" s="36" t="inlineStr">
        <is>
          <t>Status volta para revisao</t>
        </is>
      </c>
      <c r="I15" s="37" t="inlineStr">
        <is>
          <t>Pendente</t>
        </is>
      </c>
      <c r="J15" s="36" t="inlineStr"/>
    </row>
    <row r="16" ht="56" customHeight="1">
      <c r="A16" s="31" t="inlineStr">
        <is>
          <t>D06</t>
        </is>
      </c>
      <c r="B16" s="32" t="inlineStr">
        <is>
          <t>Deliverables</t>
        </is>
      </c>
      <c r="C16" s="32" t="inlineStr">
        <is>
          <t>Marcar como publicada</t>
        </is>
      </c>
      <c r="D16" s="33" t="inlineStr">
        <is>
          <t>Happy</t>
        </is>
      </c>
      <c r="E16" s="32" t="inlineStr">
        <is>
          <t>/campanhas/{id}</t>
        </is>
      </c>
      <c r="F16" s="32" t="inlineStr">
        <is>
          <t>Deliverable aprovado</t>
        </is>
      </c>
      <c r="G16" s="32" t="inlineStr">
        <is>
          <t>1) Inserir data e link</t>
        </is>
      </c>
      <c r="H16" s="32" t="inlineStr">
        <is>
          <t>Dispara deliverable_published</t>
        </is>
      </c>
      <c r="I16" s="34" t="inlineStr">
        <is>
          <t>Pendente</t>
        </is>
      </c>
      <c r="J16" s="32" t="inlineStr"/>
    </row>
    <row r="17" ht="56" customHeight="1">
      <c r="A17" s="35" t="inlineStr">
        <is>
          <t>D07</t>
        </is>
      </c>
      <c r="B17" s="36" t="inlineStr">
        <is>
          <t>Deliverables</t>
        </is>
      </c>
      <c r="C17" s="36" t="inlineStr">
        <is>
          <t>Atraso de entrega</t>
        </is>
      </c>
      <c r="D17" s="38" t="inlineStr">
        <is>
          <t>Edge</t>
        </is>
      </c>
      <c r="E17" s="36" t="inlineStr">
        <is>
          <t>/campanhas/{id}</t>
        </is>
      </c>
      <c r="F17" s="36" t="inlineStr">
        <is>
          <t>Deliverable vencido nao publicado</t>
        </is>
      </c>
      <c r="G17" s="36" t="inlineStr">
        <is>
          <t>1) Listar</t>
        </is>
      </c>
      <c r="H17" s="36" t="inlineStr">
        <is>
          <t>Destaque visual e taxa de entrega no prazo</t>
        </is>
      </c>
      <c r="I17" s="37" t="inlineStr">
        <is>
          <t>Pendente</t>
        </is>
      </c>
      <c r="J17" s="36" t="inlineStr"/>
    </row>
    <row r="18" ht="56" customHeight="1">
      <c r="A18" s="31" t="inlineStr">
        <is>
          <t>D08</t>
        </is>
      </c>
      <c r="B18" s="32" t="inlineStr">
        <is>
          <t>Operacao</t>
        </is>
      </c>
      <c r="C18" s="32" t="inlineStr">
        <is>
          <t>Fila de aprovacoes operacionais</t>
        </is>
      </c>
      <c r="D18" s="33" t="inlineStr">
        <is>
          <t>Happy</t>
        </is>
      </c>
      <c r="E18" s="32" t="inlineStr">
        <is>
          <t>/operacao/aprovacoes</t>
        </is>
      </c>
      <c r="F18" s="32" t="inlineStr">
        <is>
          <t>Deliverables aguardando</t>
        </is>
      </c>
      <c r="G18" s="32" t="inlineStr">
        <is>
          <t>1) Conferir fila</t>
        </is>
      </c>
      <c r="H18" s="32" t="inlineStr">
        <is>
          <t>Mostra pendentes da marca e prazos</t>
        </is>
      </c>
      <c r="I18" s="34" t="inlineStr">
        <is>
          <t>Pendente</t>
        </is>
      </c>
      <c r="J18" s="32" t="inlineStr"/>
    </row>
  </sheetData>
  <autoFilter ref="A3:J18"/>
  <mergeCells count="1">
    <mergeCell ref="A1:J1"/>
  </mergeCells>
  <conditionalFormatting sqref="I4:I18">
    <cfRule type="cellIs" priority="1" operator="equal" dxfId="0">
      <formula>"Pendente"</formula>
    </cfRule>
    <cfRule type="cellIs" priority="2" operator="equal" dxfId="1">
      <formula>"Em andamento"</formula>
    </cfRule>
    <cfRule type="cellIs" priority="3" operator="equal" dxfId="2">
      <formula>"Passou"</formula>
    </cfRule>
    <cfRule type="cellIs" priority="4" operator="equal" dxfId="3">
      <formula>"Falhou"</formula>
    </cfRule>
    <cfRule type="cellIs" priority="5" operator="equal" dxfId="4">
      <formula>"Bloqueado"</formula>
    </cfRule>
    <cfRule type="cellIs" priority="6" operator="equal" dxfId="5">
      <formula>"N/A"</formula>
    </cfRule>
  </conditionalFormatting>
  <dataValidations count="1">
    <dataValidation sqref="I4:I18" showDropDown="0" showInputMessage="0" showErrorMessage="0" allowBlank="0" errorTitle="Status invalido" error="Selecione um status valido." promptTitle="Status" prompt="Selecione status" type="list">
      <formula1>"Pendente,Em andamento,Passou,Falhou,Bloqueado,N/A"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12" customWidth="1" min="4" max="4"/>
    <col width="28" customWidth="1" min="5" max="5"/>
    <col width="28" customWidth="1" min="6" max="6"/>
    <col width="38" customWidth="1" min="7" max="7"/>
    <col width="36" customWidth="1" min="8" max="8"/>
    <col width="16" customWidth="1" min="9" max="9"/>
    <col width="30" customWidth="1" min="10" max="10"/>
  </cols>
  <sheetData>
    <row r="1" ht="32" customHeight="1">
      <c r="A1" s="30" t="inlineStr">
        <is>
          <t>06 FINANCEIRO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28" customHeight="1">
      <c r="A3" s="19" t="inlineStr">
        <is>
          <t>ID</t>
        </is>
      </c>
      <c r="B3" s="19" t="inlineStr">
        <is>
          <t>Submodulo</t>
        </is>
      </c>
      <c r="C3" s="19" t="inlineStr">
        <is>
          <t>Cenario</t>
        </is>
      </c>
      <c r="D3" s="19" t="inlineStr">
        <is>
          <t>Tipo</t>
        </is>
      </c>
      <c r="E3" s="19" t="inlineStr">
        <is>
          <t>Rota</t>
        </is>
      </c>
      <c r="F3" s="19" t="inlineStr">
        <is>
          <t>Pre-requisitos</t>
        </is>
      </c>
      <c r="G3" s="19" t="inlineStr">
        <is>
          <t>Passos</t>
        </is>
      </c>
      <c r="H3" s="19" t="inlineStr">
        <is>
          <t>Resultado esperado</t>
        </is>
      </c>
      <c r="I3" s="19" t="inlineStr">
        <is>
          <t>Status</t>
        </is>
      </c>
      <c r="J3" s="19" t="inlineStr">
        <is>
          <t>Observacoes</t>
        </is>
      </c>
    </row>
    <row r="4" ht="56" customHeight="1">
      <c r="A4" s="31" t="inlineStr">
        <is>
          <t>FN01</t>
        </is>
      </c>
      <c r="B4" s="32" t="inlineStr">
        <is>
          <t>Receber</t>
        </is>
      </c>
      <c r="C4" s="32" t="inlineStr">
        <is>
          <t>Receivables gerados automaticamente</t>
        </is>
      </c>
      <c r="D4" s="39" t="inlineStr">
        <is>
          <t>Critico</t>
        </is>
      </c>
      <c r="E4" s="32" t="inlineStr">
        <is>
          <t>/financeiro/receber</t>
        </is>
      </c>
      <c r="F4" s="32" t="inlineStr">
        <is>
          <t>Proposta aprovada</t>
        </is>
      </c>
      <c r="G4" s="32" t="inlineStr">
        <is>
          <t>1) Conferir lancamentos criados</t>
        </is>
      </c>
      <c r="H4" s="32" t="inlineStr">
        <is>
          <t>Valor e parcelamento batem com proposta</t>
        </is>
      </c>
      <c r="I4" s="34" t="inlineStr">
        <is>
          <t>Pendente</t>
        </is>
      </c>
      <c r="J4" s="32" t="inlineStr"/>
    </row>
    <row r="5" ht="56" customHeight="1">
      <c r="A5" s="35" t="inlineStr">
        <is>
          <t>FN02</t>
        </is>
      </c>
      <c r="B5" s="36" t="inlineStr">
        <is>
          <t>Receber</t>
        </is>
      </c>
      <c r="C5" s="36" t="inlineStr">
        <is>
          <t>Lancamento manual a receber</t>
        </is>
      </c>
      <c r="D5" s="33" t="inlineStr">
        <is>
          <t>Happy</t>
        </is>
      </c>
      <c r="E5" s="36" t="inlineStr">
        <is>
          <t>/financeiro/receber</t>
        </is>
      </c>
      <c r="F5" s="36" t="inlineStr">
        <is>
          <t>-</t>
        </is>
      </c>
      <c r="G5" s="36" t="inlineStr">
        <is>
          <t>1) Criar lancamento manual</t>
        </is>
      </c>
      <c r="H5" s="36" t="inlineStr">
        <is>
          <t>Persiste com vinculo opcional</t>
        </is>
      </c>
      <c r="I5" s="37" t="inlineStr">
        <is>
          <t>Pendente</t>
        </is>
      </c>
      <c r="J5" s="36" t="inlineStr"/>
    </row>
    <row r="6" ht="56" customHeight="1">
      <c r="A6" s="31" t="inlineStr">
        <is>
          <t>FN03</t>
        </is>
      </c>
      <c r="B6" s="32" t="inlineStr">
        <is>
          <t>Receber</t>
        </is>
      </c>
      <c r="C6" s="32" t="inlineStr">
        <is>
          <t>Baixar pagamento</t>
        </is>
      </c>
      <c r="D6" s="33" t="inlineStr">
        <is>
          <t>Happy</t>
        </is>
      </c>
      <c r="E6" s="32" t="inlineStr">
        <is>
          <t>/financeiro/receber</t>
        </is>
      </c>
      <c r="F6" s="32" t="inlineStr">
        <is>
          <t>-</t>
        </is>
      </c>
      <c r="G6" s="32" t="inlineStr">
        <is>
          <t>1) Marcar como recebido 2) Informar conta</t>
        </is>
      </c>
      <c r="H6" s="32" t="inlineStr">
        <is>
          <t>Status Realizado</t>
        </is>
      </c>
      <c r="I6" s="34" t="inlineStr">
        <is>
          <t>Pendente</t>
        </is>
      </c>
      <c r="J6" s="32" t="inlineStr"/>
    </row>
    <row r="7" ht="56" customHeight="1">
      <c r="A7" s="35" t="inlineStr">
        <is>
          <t>FN04</t>
        </is>
      </c>
      <c r="B7" s="36" t="inlineStr">
        <is>
          <t>Receber</t>
        </is>
      </c>
      <c r="C7" s="36" t="inlineStr">
        <is>
          <t>Vencido dispara evento</t>
        </is>
      </c>
      <c r="D7" s="38" t="inlineStr">
        <is>
          <t>Edge</t>
        </is>
      </c>
      <c r="E7" s="36" t="inlineStr">
        <is>
          <t>/financeiro/receber</t>
        </is>
      </c>
      <c r="F7" s="36" t="inlineStr">
        <is>
          <t>Lancamento vencido</t>
        </is>
      </c>
      <c r="G7" s="36" t="inlineStr">
        <is>
          <t>1) Aguardar trigger</t>
        </is>
      </c>
      <c r="H7" s="36" t="inlineStr">
        <is>
          <t>Dispara financial_entry_overdue</t>
        </is>
      </c>
      <c r="I7" s="37" t="inlineStr">
        <is>
          <t>Pendente</t>
        </is>
      </c>
      <c r="J7" s="36" t="inlineStr"/>
    </row>
    <row r="8" ht="56" customHeight="1">
      <c r="A8" s="31" t="inlineStr">
        <is>
          <t>FN05</t>
        </is>
      </c>
      <c r="B8" s="32" t="inlineStr">
        <is>
          <t>Pagar</t>
        </is>
      </c>
      <c r="C8" s="32" t="inlineStr">
        <is>
          <t>Despesa avulsa</t>
        </is>
      </c>
      <c r="D8" s="33" t="inlineStr">
        <is>
          <t>Happy</t>
        </is>
      </c>
      <c r="E8" s="32" t="inlineStr">
        <is>
          <t>/financeiro/pagar</t>
        </is>
      </c>
      <c r="F8" s="32" t="inlineStr">
        <is>
          <t>-</t>
        </is>
      </c>
      <c r="G8" s="32" t="inlineStr">
        <is>
          <t>1) Criar despesa</t>
        </is>
      </c>
      <c r="H8" s="32" t="inlineStr">
        <is>
          <t>Persiste com subcategoria</t>
        </is>
      </c>
      <c r="I8" s="34" t="inlineStr">
        <is>
          <t>Pendente</t>
        </is>
      </c>
      <c r="J8" s="32" t="inlineStr"/>
    </row>
    <row r="9" ht="56" customHeight="1">
      <c r="A9" s="35" t="inlineStr">
        <is>
          <t>FN06</t>
        </is>
      </c>
      <c r="B9" s="36" t="inlineStr">
        <is>
          <t>Pagar</t>
        </is>
      </c>
      <c r="C9" s="36" t="inlineStr">
        <is>
          <t>Vinculo a marca/campanha</t>
        </is>
      </c>
      <c r="D9" s="33" t="inlineStr">
        <is>
          <t>Happy</t>
        </is>
      </c>
      <c r="E9" s="36" t="inlineStr">
        <is>
          <t>/financeiro/pagar</t>
        </is>
      </c>
      <c r="F9" s="36" t="inlineStr">
        <is>
          <t>-</t>
        </is>
      </c>
      <c r="G9" s="36" t="inlineStr">
        <is>
          <t>1) Vincular a campanha</t>
        </is>
      </c>
      <c r="H9" s="36" t="inlineStr">
        <is>
          <t>Aparece em metricas da campanha</t>
        </is>
      </c>
      <c r="I9" s="37" t="inlineStr">
        <is>
          <t>Pendente</t>
        </is>
      </c>
      <c r="J9" s="36" t="inlineStr"/>
    </row>
    <row r="10" ht="56" customHeight="1">
      <c r="A10" s="31" t="inlineStr">
        <is>
          <t>FN07</t>
        </is>
      </c>
      <c r="B10" s="32" t="inlineStr">
        <is>
          <t>Repasses</t>
        </is>
      </c>
      <c r="C10" s="32" t="inlineStr">
        <is>
          <t>Repasses gerados por deliverable</t>
        </is>
      </c>
      <c r="D10" s="39" t="inlineStr">
        <is>
          <t>Critico</t>
        </is>
      </c>
      <c r="E10" s="32" t="inlineStr">
        <is>
          <t>/financeiro/repasses-creators</t>
        </is>
      </c>
      <c r="F10" s="32" t="inlineStr">
        <is>
          <t>Deliverables com valor</t>
        </is>
      </c>
      <c r="G10" s="32" t="inlineStr">
        <is>
          <t>1) Conferir saidas por creator</t>
        </is>
      </c>
      <c r="H10" s="32" t="inlineStr">
        <is>
          <t>Bate com somatorio dos deliverables</t>
        </is>
      </c>
      <c r="I10" s="34" t="inlineStr">
        <is>
          <t>Pendente</t>
        </is>
      </c>
      <c r="J10" s="32" t="inlineStr"/>
    </row>
    <row r="11" ht="56" customHeight="1">
      <c r="A11" s="35" t="inlineStr">
        <is>
          <t>FN08</t>
        </is>
      </c>
      <c r="B11" s="36" t="inlineStr">
        <is>
          <t>Repasses</t>
        </is>
      </c>
      <c r="C11" s="36" t="inlineStr">
        <is>
          <t>Aprovar repasse</t>
        </is>
      </c>
      <c r="D11" s="33" t="inlineStr">
        <is>
          <t>Happy</t>
        </is>
      </c>
      <c r="E11" s="36" t="inlineStr">
        <is>
          <t>/financeiro/repasses-creators</t>
        </is>
      </c>
      <c r="F11" s="36" t="inlineStr">
        <is>
          <t>-</t>
        </is>
      </c>
      <c r="G11" s="36" t="inlineStr">
        <is>
          <t>1) Aprovar 2) Definir data</t>
        </is>
      </c>
      <c r="H11" s="36" t="inlineStr">
        <is>
          <t>Status segue para pagar</t>
        </is>
      </c>
      <c r="I11" s="37" t="inlineStr">
        <is>
          <t>Pendente</t>
        </is>
      </c>
      <c r="J11" s="36" t="inlineStr"/>
    </row>
    <row r="12" ht="56" customHeight="1">
      <c r="A12" s="31" t="inlineStr">
        <is>
          <t>FN09</t>
        </is>
      </c>
      <c r="B12" s="32" t="inlineStr">
        <is>
          <t>Repasses</t>
        </is>
      </c>
      <c r="C12" s="32" t="inlineStr">
        <is>
          <t>Creator sem dados bancarios</t>
        </is>
      </c>
      <c r="D12" s="38" t="inlineStr">
        <is>
          <t>Edge</t>
        </is>
      </c>
      <c r="E12" s="32" t="inlineStr">
        <is>
          <t>/financeiro/repasses-creators</t>
        </is>
      </c>
      <c r="F12" s="32" t="inlineStr">
        <is>
          <t>Creator sem dados bancarios</t>
        </is>
      </c>
      <c r="G12" s="32" t="inlineStr">
        <is>
          <t>1) Tentar pagar</t>
        </is>
      </c>
      <c r="H12" s="32" t="inlineStr">
        <is>
          <t>Bloqueia ou alerta cadastro</t>
        </is>
      </c>
      <c r="I12" s="34" t="inlineStr">
        <is>
          <t>Pendente</t>
        </is>
      </c>
      <c r="J12" s="32" t="inlineStr"/>
    </row>
    <row r="13" ht="56" customHeight="1">
      <c r="A13" s="35" t="inlineStr">
        <is>
          <t>FN10</t>
        </is>
      </c>
      <c r="B13" s="36" t="inlineStr">
        <is>
          <t>CashFlow</t>
        </is>
      </c>
      <c r="C13" s="36" t="inlineStr">
        <is>
          <t>Grafico Nivo</t>
        </is>
      </c>
      <c r="D13" s="33" t="inlineStr">
        <is>
          <t>Happy</t>
        </is>
      </c>
      <c r="E13" s="36" t="inlineStr">
        <is>
          <t>/financeiro/fluxo-caixa</t>
        </is>
      </c>
      <c r="F13" s="36" t="inlineStr">
        <is>
          <t>Lancamentos diversos</t>
        </is>
      </c>
      <c r="G13" s="36" t="inlineStr">
        <is>
          <t>1) Filtrar mes/semana/dia</t>
        </is>
      </c>
      <c r="H13" s="36" t="inlineStr">
        <is>
          <t>Grafico sem perder labels do inicio</t>
        </is>
      </c>
      <c r="I13" s="37" t="inlineStr">
        <is>
          <t>Pendente</t>
        </is>
      </c>
      <c r="J13" s="36" t="inlineStr"/>
    </row>
    <row r="14" ht="56" customHeight="1">
      <c r="A14" s="31" t="inlineStr">
        <is>
          <t>FN11</t>
        </is>
      </c>
      <c r="B14" s="32" t="inlineStr">
        <is>
          <t>CashFlow</t>
        </is>
      </c>
      <c r="C14" s="32" t="inlineStr">
        <is>
          <t>Projetado vs realizado</t>
        </is>
      </c>
      <c r="D14" s="33" t="inlineStr">
        <is>
          <t>Happy</t>
        </is>
      </c>
      <c r="E14" s="32" t="inlineStr">
        <is>
          <t>/financeiro/fluxo-caixa</t>
        </is>
      </c>
      <c r="F14" s="32" t="inlineStr">
        <is>
          <t>-</t>
        </is>
      </c>
      <c r="G14" s="32" t="inlineStr">
        <is>
          <t>1) Comparar linhas</t>
        </is>
      </c>
      <c r="H14" s="32" t="inlineStr">
        <is>
          <t>Diferenca clara entre projetado e realizado</t>
        </is>
      </c>
      <c r="I14" s="34" t="inlineStr">
        <is>
          <t>Pendente</t>
        </is>
      </c>
      <c r="J14" s="32" t="inlineStr"/>
    </row>
    <row r="15" ht="56" customHeight="1">
      <c r="A15" s="35" t="inlineStr">
        <is>
          <t>FN12</t>
        </is>
      </c>
      <c r="B15" s="36" t="inlineStr">
        <is>
          <t>Aging</t>
        </is>
      </c>
      <c r="C15" s="36" t="inlineStr">
        <is>
          <t>Distribuicao por faixa</t>
        </is>
      </c>
      <c r="D15" s="33" t="inlineStr">
        <is>
          <t>Happy</t>
        </is>
      </c>
      <c r="E15" s="36" t="inlineStr">
        <is>
          <t>/financeiro/aging</t>
        </is>
      </c>
      <c r="F15" s="36" t="inlineStr">
        <is>
          <t>Vencidos em faixas diferentes</t>
        </is>
      </c>
      <c r="G15" s="36" t="inlineStr">
        <is>
          <t>1) Conferir faixas</t>
        </is>
      </c>
      <c r="H15" s="36" t="inlineStr">
        <is>
          <t>Faixas batem com somatorios</t>
        </is>
      </c>
      <c r="I15" s="37" t="inlineStr">
        <is>
          <t>Pendente</t>
        </is>
      </c>
      <c r="J15" s="36" t="inlineStr"/>
    </row>
    <row r="16" ht="56" customHeight="1">
      <c r="A16" s="31" t="inlineStr">
        <is>
          <t>FN13</t>
        </is>
      </c>
      <c r="B16" s="32" t="inlineStr">
        <is>
          <t>Aging</t>
        </is>
      </c>
      <c r="C16" s="32" t="inlineStr">
        <is>
          <t>Drill-down em faixa</t>
        </is>
      </c>
      <c r="D16" s="33" t="inlineStr">
        <is>
          <t>Happy</t>
        </is>
      </c>
      <c r="E16" s="32" t="inlineStr">
        <is>
          <t>/financeiro/aging</t>
        </is>
      </c>
      <c r="F16" s="32" t="inlineStr">
        <is>
          <t>-</t>
        </is>
      </c>
      <c r="G16" s="32" t="inlineStr">
        <is>
          <t>1) Clicar em faixa 2) Ver lancamentos</t>
        </is>
      </c>
      <c r="H16" s="32" t="inlineStr">
        <is>
          <t>Lista filtrada abre</t>
        </is>
      </c>
      <c r="I16" s="34" t="inlineStr">
        <is>
          <t>Pendente</t>
        </is>
      </c>
      <c r="J16" s="32" t="inlineStr"/>
    </row>
  </sheetData>
  <autoFilter ref="A3:J16"/>
  <mergeCells count="1">
    <mergeCell ref="A1:J1"/>
  </mergeCells>
  <conditionalFormatting sqref="I4:I16">
    <cfRule type="cellIs" priority="1" operator="equal" dxfId="0">
      <formula>"Pendente"</formula>
    </cfRule>
    <cfRule type="cellIs" priority="2" operator="equal" dxfId="1">
      <formula>"Em andamento"</formula>
    </cfRule>
    <cfRule type="cellIs" priority="3" operator="equal" dxfId="2">
      <formula>"Passou"</formula>
    </cfRule>
    <cfRule type="cellIs" priority="4" operator="equal" dxfId="3">
      <formula>"Falhou"</formula>
    </cfRule>
    <cfRule type="cellIs" priority="5" operator="equal" dxfId="4">
      <formula>"Bloqueado"</formula>
    </cfRule>
    <cfRule type="cellIs" priority="6" operator="equal" dxfId="5">
      <formula>"N/A"</formula>
    </cfRule>
  </conditionalFormatting>
  <dataValidations count="1">
    <dataValidation sqref="I4:I16" showDropDown="0" showInputMessage="0" showErrorMessage="0" allowBlank="0" errorTitle="Status invalido" error="Selecione um status valido." promptTitle="Status" prompt="Selecione status" type="list">
      <formula1>"Pendente,Em andamento,Passou,Falhou,Bloqueado,N/A"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12" customWidth="1" min="4" max="4"/>
    <col width="28" customWidth="1" min="5" max="5"/>
    <col width="28" customWidth="1" min="6" max="6"/>
    <col width="38" customWidth="1" min="7" max="7"/>
    <col width="36" customWidth="1" min="8" max="8"/>
    <col width="16" customWidth="1" min="9" max="9"/>
    <col width="30" customWidth="1" min="10" max="10"/>
  </cols>
  <sheetData>
    <row r="1" ht="32" customHeight="1">
      <c r="A1" s="30" t="inlineStr">
        <is>
          <t>07 PORTAL DO CREATOR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28" customHeight="1">
      <c r="A3" s="19" t="inlineStr">
        <is>
          <t>ID</t>
        </is>
      </c>
      <c r="B3" s="19" t="inlineStr">
        <is>
          <t>Submodulo</t>
        </is>
      </c>
      <c r="C3" s="19" t="inlineStr">
        <is>
          <t>Cenario</t>
        </is>
      </c>
      <c r="D3" s="19" t="inlineStr">
        <is>
          <t>Tipo</t>
        </is>
      </c>
      <c r="E3" s="19" t="inlineStr">
        <is>
          <t>Rota</t>
        </is>
      </c>
      <c r="F3" s="19" t="inlineStr">
        <is>
          <t>Pre-requisitos</t>
        </is>
      </c>
      <c r="G3" s="19" t="inlineStr">
        <is>
          <t>Passos</t>
        </is>
      </c>
      <c r="H3" s="19" t="inlineStr">
        <is>
          <t>Resultado esperado</t>
        </is>
      </c>
      <c r="I3" s="19" t="inlineStr">
        <is>
          <t>Status</t>
        </is>
      </c>
      <c r="J3" s="19" t="inlineStr">
        <is>
          <t>Observacoes</t>
        </is>
      </c>
    </row>
    <row r="4" ht="56" customHeight="1">
      <c r="A4" s="31" t="inlineStr">
        <is>
          <t>PT01</t>
        </is>
      </c>
      <c r="B4" s="32" t="inlineStr">
        <is>
          <t>Acesso</t>
        </is>
      </c>
      <c r="C4" s="32" t="inlineStr">
        <is>
          <t>Acessar portal por token</t>
        </is>
      </c>
      <c r="D4" s="33" t="inlineStr">
        <is>
          <t>Happy</t>
        </is>
      </c>
      <c r="E4" s="32" t="inlineStr">
        <is>
          <t>/portal/{token}</t>
        </is>
      </c>
      <c r="F4" s="32" t="inlineStr">
        <is>
          <t>Creator com token gerado</t>
        </is>
      </c>
      <c r="G4" s="32" t="inlineStr">
        <is>
          <t>1) Abrir link</t>
        </is>
      </c>
      <c r="H4" s="32" t="inlineStr">
        <is>
          <t>Sem auth, mostra Dashboard do creator</t>
        </is>
      </c>
      <c r="I4" s="34" t="inlineStr">
        <is>
          <t>Pendente</t>
        </is>
      </c>
      <c r="J4" s="32" t="inlineStr"/>
    </row>
    <row r="5" ht="56" customHeight="1">
      <c r="A5" s="35" t="inlineStr">
        <is>
          <t>PT02</t>
        </is>
      </c>
      <c r="B5" s="36" t="inlineStr">
        <is>
          <t>Acesso</t>
        </is>
      </c>
      <c r="C5" s="36" t="inlineStr">
        <is>
          <t>Listar campanhas do creator</t>
        </is>
      </c>
      <c r="D5" s="33" t="inlineStr">
        <is>
          <t>Happy</t>
        </is>
      </c>
      <c r="E5" s="36" t="inlineStr">
        <is>
          <t>/portal/{token}/campanhas</t>
        </is>
      </c>
      <c r="F5" s="36" t="inlineStr">
        <is>
          <t>-</t>
        </is>
      </c>
      <c r="G5" s="36" t="inlineStr">
        <is>
          <t>1) Abrir aba</t>
        </is>
      </c>
      <c r="H5" s="36" t="inlineStr">
        <is>
          <t>Apenas campanhas dele</t>
        </is>
      </c>
      <c r="I5" s="37" t="inlineStr">
        <is>
          <t>Pendente</t>
        </is>
      </c>
      <c r="J5" s="36" t="inlineStr"/>
    </row>
    <row r="6" ht="56" customHeight="1">
      <c r="A6" s="31" t="inlineStr">
        <is>
          <t>PT03</t>
        </is>
      </c>
      <c r="B6" s="32" t="inlineStr">
        <is>
          <t>Documentos</t>
        </is>
      </c>
      <c r="C6" s="32" t="inlineStr">
        <is>
          <t>Contratos para assinar</t>
        </is>
      </c>
      <c r="D6" s="33" t="inlineStr">
        <is>
          <t>Happy</t>
        </is>
      </c>
      <c r="E6" s="32" t="inlineStr">
        <is>
          <t>/portal/{token}/contratos</t>
        </is>
      </c>
      <c r="F6" s="32" t="inlineStr">
        <is>
          <t>-</t>
        </is>
      </c>
      <c r="G6" s="32" t="inlineStr">
        <is>
          <t>1) Abrir contratos</t>
        </is>
      </c>
      <c r="H6" s="32" t="inlineStr">
        <is>
          <t>Lista contratos atribuidos</t>
        </is>
      </c>
      <c r="I6" s="34" t="inlineStr">
        <is>
          <t>Pendente</t>
        </is>
      </c>
      <c r="J6" s="32" t="inlineStr"/>
    </row>
    <row r="7" ht="56" customHeight="1">
      <c r="A7" s="35" t="inlineStr">
        <is>
          <t>PT04</t>
        </is>
      </c>
      <c r="B7" s="36" t="inlineStr">
        <is>
          <t>Pagamentos</t>
        </is>
      </c>
      <c r="C7" s="36" t="inlineStr">
        <is>
          <t>Pagamentos do creator</t>
        </is>
      </c>
      <c r="D7" s="33" t="inlineStr">
        <is>
          <t>Happy</t>
        </is>
      </c>
      <c r="E7" s="36" t="inlineStr">
        <is>
          <t>/portal/{token}/pagamentos</t>
        </is>
      </c>
      <c r="F7" s="36" t="inlineStr">
        <is>
          <t>-</t>
        </is>
      </c>
      <c r="G7" s="36" t="inlineStr">
        <is>
          <t>1) Abrir aba</t>
        </is>
      </c>
      <c r="H7" s="36" t="inlineStr">
        <is>
          <t>Pagamentos do creator</t>
        </is>
      </c>
      <c r="I7" s="37" t="inlineStr">
        <is>
          <t>Pendente</t>
        </is>
      </c>
      <c r="J7" s="36" t="inlineStr"/>
    </row>
    <row r="8" ht="56" customHeight="1">
      <c r="A8" s="31" t="inlineStr">
        <is>
          <t>PT05</t>
        </is>
      </c>
      <c r="B8" s="32" t="inlineStr">
        <is>
          <t>Perfil</t>
        </is>
      </c>
      <c r="C8" s="32" t="inlineStr">
        <is>
          <t>Editar perfil</t>
        </is>
      </c>
      <c r="D8" s="33" t="inlineStr">
        <is>
          <t>Happy</t>
        </is>
      </c>
      <c r="E8" s="32" t="inlineStr">
        <is>
          <t>/portal/{token}/perfil</t>
        </is>
      </c>
      <c r="F8" s="32" t="inlineStr">
        <is>
          <t>-</t>
        </is>
      </c>
      <c r="G8" s="32" t="inlineStr">
        <is>
          <t>1) Editar dados bancarios e contato</t>
        </is>
      </c>
      <c r="H8" s="32" t="inlineStr">
        <is>
          <t>Persiste e reflete no Kanvas</t>
        </is>
      </c>
      <c r="I8" s="34" t="inlineStr">
        <is>
          <t>Pendente</t>
        </is>
      </c>
      <c r="J8" s="32" t="inlineStr"/>
    </row>
    <row r="9" ht="56" customHeight="1">
      <c r="A9" s="35" t="inlineStr">
        <is>
          <t>PT06</t>
        </is>
      </c>
      <c r="B9" s="36" t="inlineStr">
        <is>
          <t>Acesso</t>
        </is>
      </c>
      <c r="C9" s="36" t="inlineStr">
        <is>
          <t>Token invalido</t>
        </is>
      </c>
      <c r="D9" s="38" t="inlineStr">
        <is>
          <t>Edge</t>
        </is>
      </c>
      <c r="E9" s="36" t="inlineStr">
        <is>
          <t>/portal/{token}</t>
        </is>
      </c>
      <c r="F9" s="36" t="inlineStr">
        <is>
          <t>Token errado</t>
        </is>
      </c>
      <c r="G9" s="36" t="inlineStr">
        <is>
          <t>1) Acessar com token adulterado</t>
        </is>
      </c>
      <c r="H9" s="36" t="inlineStr">
        <is>
          <t>Mensagem clara, sem expor dados</t>
        </is>
      </c>
      <c r="I9" s="37" t="inlineStr">
        <is>
          <t>Pendente</t>
        </is>
      </c>
      <c r="J9" s="36" t="inlineStr"/>
    </row>
  </sheetData>
  <autoFilter ref="A3:J9"/>
  <mergeCells count="1">
    <mergeCell ref="A1:J1"/>
  </mergeCells>
  <conditionalFormatting sqref="I4:I9">
    <cfRule type="cellIs" priority="1" operator="equal" dxfId="0">
      <formula>"Pendente"</formula>
    </cfRule>
    <cfRule type="cellIs" priority="2" operator="equal" dxfId="1">
      <formula>"Em andamento"</formula>
    </cfRule>
    <cfRule type="cellIs" priority="3" operator="equal" dxfId="2">
      <formula>"Passou"</formula>
    </cfRule>
    <cfRule type="cellIs" priority="4" operator="equal" dxfId="3">
      <formula>"Falhou"</formula>
    </cfRule>
    <cfRule type="cellIs" priority="5" operator="equal" dxfId="4">
      <formula>"Bloqueado"</formula>
    </cfRule>
    <cfRule type="cellIs" priority="6" operator="equal" dxfId="5">
      <formula>"N/A"</formula>
    </cfRule>
  </conditionalFormatting>
  <dataValidations count="1">
    <dataValidation sqref="I4:I9" showDropDown="0" showInputMessage="0" showErrorMessage="0" allowBlank="0" errorTitle="Status invalido" error="Selecione um status valido." promptTitle="Status" prompt="Selecione status" type="list">
      <formula1>"Pendente,Em andamento,Passou,Falhou,Bloqueado,N/A"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12" customWidth="1" min="4" max="4"/>
    <col width="28" customWidth="1" min="5" max="5"/>
    <col width="28" customWidth="1" min="6" max="6"/>
    <col width="38" customWidth="1" min="7" max="7"/>
    <col width="36" customWidth="1" min="8" max="8"/>
    <col width="16" customWidth="1" min="9" max="9"/>
    <col width="30" customWidth="1" min="10" max="10"/>
  </cols>
  <sheetData>
    <row r="1" ht="32" customHeight="1">
      <c r="A1" s="30" t="inlineStr">
        <is>
          <t>08 SISTEMA &amp; REGRESSAO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28" customHeight="1">
      <c r="A3" s="19" t="inlineStr">
        <is>
          <t>ID</t>
        </is>
      </c>
      <c r="B3" s="19" t="inlineStr">
        <is>
          <t>Submodulo</t>
        </is>
      </c>
      <c r="C3" s="19" t="inlineStr">
        <is>
          <t>Cenario</t>
        </is>
      </c>
      <c r="D3" s="19" t="inlineStr">
        <is>
          <t>Tipo</t>
        </is>
      </c>
      <c r="E3" s="19" t="inlineStr">
        <is>
          <t>Rota</t>
        </is>
      </c>
      <c r="F3" s="19" t="inlineStr">
        <is>
          <t>Pre-requisitos</t>
        </is>
      </c>
      <c r="G3" s="19" t="inlineStr">
        <is>
          <t>Passos</t>
        </is>
      </c>
      <c r="H3" s="19" t="inlineStr">
        <is>
          <t>Resultado esperado</t>
        </is>
      </c>
      <c r="I3" s="19" t="inlineStr">
        <is>
          <t>Status</t>
        </is>
      </c>
      <c r="J3" s="19" t="inlineStr">
        <is>
          <t>Observacoes</t>
        </is>
      </c>
    </row>
    <row r="4" ht="56" customHeight="1">
      <c r="A4" s="31" t="inlineStr">
        <is>
          <t>U01</t>
        </is>
      </c>
      <c r="B4" s="32" t="inlineStr">
        <is>
          <t>Usuarios</t>
        </is>
      </c>
      <c r="C4" s="32" t="inlineStr">
        <is>
          <t>Listar usuarios do contrato</t>
        </is>
      </c>
      <c r="D4" s="33" t="inlineStr">
        <is>
          <t>Happy</t>
        </is>
      </c>
      <c r="E4" s="32" t="inlineStr">
        <is>
          <t>/usuarios</t>
        </is>
      </c>
      <c r="F4" s="32" t="inlineStr">
        <is>
          <t>Login root</t>
        </is>
      </c>
      <c r="G4" s="32" t="inlineStr">
        <is>
          <t>1) Abrir tela</t>
        </is>
      </c>
      <c r="H4" s="32" t="inlineStr">
        <is>
          <t>Lista via IdM (IntegrationSecret)</t>
        </is>
      </c>
      <c r="I4" s="34" t="inlineStr">
        <is>
          <t>Pendente</t>
        </is>
      </c>
      <c r="J4" s="32" t="inlineStr"/>
    </row>
    <row r="5" ht="56" customHeight="1">
      <c r="A5" s="35" t="inlineStr">
        <is>
          <t>U02</t>
        </is>
      </c>
      <c r="B5" s="36" t="inlineStr">
        <is>
          <t>Usuarios</t>
        </is>
      </c>
      <c r="C5" s="36" t="inlineStr">
        <is>
          <t>Criar usuario</t>
        </is>
      </c>
      <c r="D5" s="33" t="inlineStr">
        <is>
          <t>Happy</t>
        </is>
      </c>
      <c r="E5" s="36" t="inlineStr">
        <is>
          <t>/usuarios</t>
        </is>
      </c>
      <c r="F5" s="36" t="inlineStr">
        <is>
          <t>-</t>
        </is>
      </c>
      <c r="G5" s="36" t="inlineStr">
        <is>
          <t>1) Criar e atribuir papel</t>
        </is>
      </c>
      <c r="H5" s="36" t="inlineStr">
        <is>
          <t>Operacao atomica no IdM</t>
        </is>
      </c>
      <c r="I5" s="37" t="inlineStr">
        <is>
          <t>Pendente</t>
        </is>
      </c>
      <c r="J5" s="36" t="inlineStr"/>
    </row>
    <row r="6" ht="56" customHeight="1">
      <c r="A6" s="31" t="inlineStr">
        <is>
          <t>U03</t>
        </is>
      </c>
      <c r="B6" s="32" t="inlineStr">
        <is>
          <t>Usuarios</t>
        </is>
      </c>
      <c r="C6" s="32" t="inlineStr">
        <is>
          <t>Alterar papel</t>
        </is>
      </c>
      <c r="D6" s="33" t="inlineStr">
        <is>
          <t>Happy</t>
        </is>
      </c>
      <c r="E6" s="32" t="inlineStr">
        <is>
          <t>/usuarios</t>
        </is>
      </c>
      <c r="F6" s="32" t="inlineStr">
        <is>
          <t>-</t>
        </is>
      </c>
      <c r="G6" s="32" t="inlineStr">
        <is>
          <t>1) Trocar papel</t>
        </is>
      </c>
      <c r="H6" s="32" t="inlineStr">
        <is>
          <t>Permissoes mudam na proxima sessao</t>
        </is>
      </c>
      <c r="I6" s="34" t="inlineStr">
        <is>
          <t>Pendente</t>
        </is>
      </c>
      <c r="J6" s="32" t="inlineStr"/>
    </row>
    <row r="7" ht="56" customHeight="1">
      <c r="A7" s="35" t="inlineStr">
        <is>
          <t>U04</t>
        </is>
      </c>
      <c r="B7" s="36" t="inlineStr">
        <is>
          <t>Usuarios</t>
        </is>
      </c>
      <c r="C7" s="36" t="inlineStr">
        <is>
          <t>Desativar/reativar usuario</t>
        </is>
      </c>
      <c r="D7" s="33" t="inlineStr">
        <is>
          <t>Happy</t>
        </is>
      </c>
      <c r="E7" s="36" t="inlineStr">
        <is>
          <t>/usuarios</t>
        </is>
      </c>
      <c r="F7" s="36" t="inlineStr">
        <is>
          <t>-</t>
        </is>
      </c>
      <c r="G7" s="36" t="inlineStr">
        <is>
          <t>1) Desativar 2) Reativar</t>
        </is>
      </c>
      <c r="H7" s="36" t="inlineStr">
        <is>
          <t>Acesso global muda</t>
        </is>
      </c>
      <c r="I7" s="37" t="inlineStr">
        <is>
          <t>Pendente</t>
        </is>
      </c>
      <c r="J7" s="36" t="inlineStr"/>
    </row>
    <row r="8" ht="56" customHeight="1">
      <c r="A8" s="31" t="inlineStr">
        <is>
          <t>N01</t>
        </is>
      </c>
      <c r="B8" s="32" t="inlineStr">
        <is>
          <t>Notificacoes</t>
        </is>
      </c>
      <c r="C8" s="32" t="inlineStr">
        <is>
          <t>Badge por polling 60s</t>
        </is>
      </c>
      <c r="D8" s="33" t="inlineStr">
        <is>
          <t>Happy</t>
        </is>
      </c>
      <c r="E8" s="32" t="inlineStr">
        <is>
          <t>-</t>
        </is>
      </c>
      <c r="F8" s="32" t="inlineStr">
        <is>
          <t>Usuario logado</t>
        </is>
      </c>
      <c r="G8" s="32" t="inlineStr">
        <is>
          <t>1) Disparar evento via outro usuario 2) Aguardar 60s</t>
        </is>
      </c>
      <c r="H8" s="32" t="inlineStr">
        <is>
          <t>Badge sem reload</t>
        </is>
      </c>
      <c r="I8" s="34" t="inlineStr">
        <is>
          <t>Pendente</t>
        </is>
      </c>
      <c r="J8" s="32" t="inlineStr"/>
    </row>
    <row r="9" ht="56" customHeight="1">
      <c r="A9" s="35" t="inlineStr">
        <is>
          <t>N02</t>
        </is>
      </c>
      <c r="B9" s="36" t="inlineStr">
        <is>
          <t>Notificacoes</t>
        </is>
      </c>
      <c r="C9" s="36" t="inlineStr">
        <is>
          <t>Marcar como lida</t>
        </is>
      </c>
      <c r="D9" s="33" t="inlineStr">
        <is>
          <t>Happy</t>
        </is>
      </c>
      <c r="E9" s="36" t="inlineStr">
        <is>
          <t>-</t>
        </is>
      </c>
      <c r="F9" s="36" t="inlineStr">
        <is>
          <t>Notificacoes pendentes</t>
        </is>
      </c>
      <c r="G9" s="36" t="inlineStr">
        <is>
          <t>1) Clicar 2) Marcar lida</t>
        </is>
      </c>
      <c r="H9" s="36" t="inlineStr">
        <is>
          <t>Badge decrementa</t>
        </is>
      </c>
      <c r="I9" s="37" t="inlineStr">
        <is>
          <t>Pendente</t>
        </is>
      </c>
      <c r="J9" s="36" t="inlineStr"/>
    </row>
    <row r="10" ht="56" customHeight="1">
      <c r="A10" s="31" t="inlineStr">
        <is>
          <t>N03</t>
        </is>
      </c>
      <c r="B10" s="32" t="inlineStr">
        <is>
          <t>Notificacoes</t>
        </is>
      </c>
      <c r="C10" s="32" t="inlineStr">
        <is>
          <t>Navegar para entidade</t>
        </is>
      </c>
      <c r="D10" s="33" t="inlineStr">
        <is>
          <t>Happy</t>
        </is>
      </c>
      <c r="E10" s="32" t="inlineStr">
        <is>
          <t>-</t>
        </is>
      </c>
      <c r="F10" s="32" t="inlineStr">
        <is>
          <t>Notif de proposta aprovada</t>
        </is>
      </c>
      <c r="G10" s="32" t="inlineStr">
        <is>
          <t>1) Clicar item</t>
        </is>
      </c>
      <c r="H10" s="32" t="inlineStr">
        <is>
          <t>Vai direto para proposta</t>
        </is>
      </c>
      <c r="I10" s="34" t="inlineStr">
        <is>
          <t>Pendente</t>
        </is>
      </c>
      <c r="J10" s="32" t="inlineStr"/>
    </row>
    <row r="11" ht="56" customHeight="1">
      <c r="A11" s="35" t="inlineStr">
        <is>
          <t>AU01</t>
        </is>
      </c>
      <c r="B11" s="36" t="inlineStr">
        <is>
          <t>Automacoes</t>
        </is>
      </c>
      <c r="C11" s="36" t="inlineStr">
        <is>
          <t>Vincular evento a pipeline</t>
        </is>
      </c>
      <c r="D11" s="33" t="inlineStr">
        <is>
          <t>Happy</t>
        </is>
      </c>
      <c r="E11" s="36" t="inlineStr">
        <is>
          <t>/configuracao/integracoes</t>
        </is>
      </c>
      <c r="F11" s="36" t="inlineStr">
        <is>
          <t>Pipeline pronto no IntegrationPlataform</t>
        </is>
      </c>
      <c r="G11" s="36" t="inlineStr">
        <is>
          <t>1) Configurar proposal_sent -&gt; pipeline</t>
        </is>
      </c>
      <c r="H11" s="36" t="inlineStr">
        <is>
          <t>Persistencia ok</t>
        </is>
      </c>
      <c r="I11" s="37" t="inlineStr">
        <is>
          <t>Pendente</t>
        </is>
      </c>
      <c r="J11" s="36" t="inlineStr"/>
    </row>
    <row r="12" ht="56" customHeight="1">
      <c r="A12" s="31" t="inlineStr">
        <is>
          <t>AU02</t>
        </is>
      </c>
      <c r="B12" s="32" t="inlineStr">
        <is>
          <t>Automacoes</t>
        </is>
      </c>
      <c r="C12" s="32" t="inlineStr">
        <is>
          <t>Disparo real proposta enviada</t>
        </is>
      </c>
      <c r="D12" s="39" t="inlineStr">
        <is>
          <t>Critico</t>
        </is>
      </c>
      <c r="E12" s="32" t="inlineStr">
        <is>
          <t>-</t>
        </is>
      </c>
      <c r="F12" s="32" t="inlineStr">
        <is>
          <t>Automacao configurada</t>
        </is>
      </c>
      <c r="G12" s="32" t="inlineStr">
        <is>
          <t>1) Enviar proposta</t>
        </is>
      </c>
      <c r="H12" s="32" t="inlineStr">
        <is>
          <t>Pipeline executa com payload Mustache interpolado</t>
        </is>
      </c>
      <c r="I12" s="34" t="inlineStr">
        <is>
          <t>Pendente</t>
        </is>
      </c>
      <c r="J12" s="32" t="inlineStr"/>
    </row>
    <row r="13" ht="56" customHeight="1">
      <c r="A13" s="35" t="inlineStr">
        <is>
          <t>AU03</t>
        </is>
      </c>
      <c r="B13" s="36" t="inlineStr">
        <is>
          <t>Automacoes</t>
        </is>
      </c>
      <c r="C13" s="36" t="inlineStr">
        <is>
          <t>Falha na execucao</t>
        </is>
      </c>
      <c r="D13" s="38" t="inlineStr">
        <is>
          <t>Edge</t>
        </is>
      </c>
      <c r="E13" s="36" t="inlineStr">
        <is>
          <t>-</t>
        </is>
      </c>
      <c r="F13" s="36" t="inlineStr">
        <is>
          <t>Conector com credencial invalida</t>
        </is>
      </c>
      <c r="G13" s="36" t="inlineStr">
        <is>
          <t>1) Disparar evento</t>
        </is>
      </c>
      <c r="H13" s="36" t="inlineStr">
        <is>
          <t>Log no Kanvas e retry conforme politica</t>
        </is>
      </c>
      <c r="I13" s="37" t="inlineStr">
        <is>
          <t>Pendente</t>
        </is>
      </c>
      <c r="J13" s="36" t="inlineStr"/>
    </row>
    <row r="14" ht="56" customHeight="1">
      <c r="A14" s="31" t="inlineStr">
        <is>
          <t>AU04</t>
        </is>
      </c>
      <c r="B14" s="32" t="inlineStr">
        <is>
          <t>Automacoes</t>
        </is>
      </c>
      <c r="C14" s="32" t="inlineStr">
        <is>
          <t>Payload com variavel ausente</t>
        </is>
      </c>
      <c r="D14" s="38" t="inlineStr">
        <is>
          <t>Edge</t>
        </is>
      </c>
      <c r="E14" s="32" t="inlineStr">
        <is>
          <t>-</t>
        </is>
      </c>
      <c r="F14" s="32" t="inlineStr">
        <is>
          <t>Template com variavel inexistente</t>
        </is>
      </c>
      <c r="G14" s="32" t="inlineStr">
        <is>
          <t>1) Disparar</t>
        </is>
      </c>
      <c r="H14" s="32" t="inlineStr">
        <is>
          <t>Nao quebra pipeline; loga warning</t>
        </is>
      </c>
      <c r="I14" s="34" t="inlineStr">
        <is>
          <t>Pendente</t>
        </is>
      </c>
      <c r="J14" s="32" t="inlineStr"/>
    </row>
    <row r="15" ht="56" customHeight="1">
      <c r="A15" s="35" t="inlineStr">
        <is>
          <t>AD01</t>
        </is>
      </c>
      <c r="B15" s="36" t="inlineStr">
        <is>
          <t>Auditoria</t>
        </is>
      </c>
      <c r="C15" s="36" t="inlineStr">
        <is>
          <t>Listar alteracoes</t>
        </is>
      </c>
      <c r="D15" s="33" t="inlineStr">
        <is>
          <t>Happy</t>
        </is>
      </c>
      <c r="E15" s="36" t="inlineStr">
        <is>
          <t>-</t>
        </is>
      </c>
      <c r="F15" s="36" t="inlineStr">
        <is>
          <t>Entidade alterada</t>
        </is>
      </c>
      <c r="G15" s="36" t="inlineStr">
        <is>
          <t>1) Filtrar por entidade</t>
        </is>
      </c>
      <c r="H15" s="36" t="inlineStr">
        <is>
          <t>auditentries + auditpropertychanges legivel</t>
        </is>
      </c>
      <c r="I15" s="37" t="inlineStr">
        <is>
          <t>Pendente</t>
        </is>
      </c>
      <c r="J15" s="36" t="inlineStr"/>
    </row>
    <row r="16" ht="56" customHeight="1">
      <c r="A16" s="31" t="inlineStr">
        <is>
          <t>AD02</t>
        </is>
      </c>
      <c r="B16" s="32" t="inlineStr">
        <is>
          <t>Auditoria</t>
        </is>
      </c>
      <c r="C16" s="32" t="inlineStr">
        <is>
          <t>Filtro por usuario</t>
        </is>
      </c>
      <c r="D16" s="33" t="inlineStr">
        <is>
          <t>Happy</t>
        </is>
      </c>
      <c r="E16" s="32" t="inlineStr">
        <is>
          <t>-</t>
        </is>
      </c>
      <c r="F16" s="32" t="inlineStr">
        <is>
          <t>-</t>
        </is>
      </c>
      <c r="G16" s="32" t="inlineStr">
        <is>
          <t>1) Filtrar por usuario X</t>
        </is>
      </c>
      <c r="H16" s="32" t="inlineStr">
        <is>
          <t>Mostra apenas alteracoes de X</t>
        </is>
      </c>
      <c r="I16" s="34" t="inlineStr">
        <is>
          <t>Pendente</t>
        </is>
      </c>
      <c r="J16" s="32" t="inlineStr"/>
    </row>
    <row r="17" ht="56" customHeight="1">
      <c r="A17" s="35" t="inlineStr">
        <is>
          <t>AD03</t>
        </is>
      </c>
      <c r="B17" s="36" t="inlineStr">
        <is>
          <t>Auditoria</t>
        </is>
      </c>
      <c r="C17" s="36" t="inlineStr">
        <is>
          <t>Filtro por periodo</t>
        </is>
      </c>
      <c r="D17" s="33" t="inlineStr">
        <is>
          <t>Happy</t>
        </is>
      </c>
      <c r="E17" s="36" t="inlineStr">
        <is>
          <t>-</t>
        </is>
      </c>
      <c r="F17" s="36" t="inlineStr">
        <is>
          <t>-</t>
        </is>
      </c>
      <c r="G17" s="36" t="inlineStr">
        <is>
          <t>1) Ultimos 7 dias</t>
        </is>
      </c>
      <c r="H17" s="36" t="inlineStr">
        <is>
          <t>Resultado correto</t>
        </is>
      </c>
      <c r="I17" s="37" t="inlineStr">
        <is>
          <t>Pendente</t>
        </is>
      </c>
      <c r="J17" s="36" t="inlineStr"/>
    </row>
    <row r="18" ht="56" customHeight="1">
      <c r="A18" s="31" t="inlineStr">
        <is>
          <t>DB01</t>
        </is>
      </c>
      <c r="B18" s="32" t="inlineStr">
        <is>
          <t>Dashboard</t>
        </is>
      </c>
      <c r="C18" s="32" t="inlineStr">
        <is>
          <t>Cards de KPI</t>
        </is>
      </c>
      <c r="D18" s="33" t="inlineStr">
        <is>
          <t>Happy</t>
        </is>
      </c>
      <c r="E18" s="32" t="inlineStr">
        <is>
          <t>/</t>
        </is>
      </c>
      <c r="F18" s="32" t="inlineStr">
        <is>
          <t>Dados carregados</t>
        </is>
      </c>
      <c r="G18" s="32" t="inlineStr">
        <is>
          <t>1) Abrir dashboard</t>
        </is>
      </c>
      <c r="H18" s="32" t="inlineStr">
        <is>
          <t>Cards batem com dados</t>
        </is>
      </c>
      <c r="I18" s="34" t="inlineStr">
        <is>
          <t>Pendente</t>
        </is>
      </c>
      <c r="J18" s="32" t="inlineStr"/>
    </row>
    <row r="19" ht="56" customHeight="1">
      <c r="A19" s="35" t="inlineStr">
        <is>
          <t>DB02</t>
        </is>
      </c>
      <c r="B19" s="36" t="inlineStr">
        <is>
          <t>Dashboard</t>
        </is>
      </c>
      <c r="C19" s="36" t="inlineStr">
        <is>
          <t>Receita 12 meses (Nivo)</t>
        </is>
      </c>
      <c r="D19" s="33" t="inlineStr">
        <is>
          <t>Happy</t>
        </is>
      </c>
      <c r="E19" s="36" t="inlineStr">
        <is>
          <t>/</t>
        </is>
      </c>
      <c r="F19" s="36" t="inlineStr">
        <is>
          <t>-</t>
        </is>
      </c>
      <c r="G19" s="36" t="inlineStr">
        <is>
          <t>1) Conferir grafico</t>
        </is>
      </c>
      <c r="H19" s="36" t="inlineStr">
        <is>
          <t>Linha completa, sem perder labels</t>
        </is>
      </c>
      <c r="I19" s="37" t="inlineStr">
        <is>
          <t>Pendente</t>
        </is>
      </c>
      <c r="J19" s="36" t="inlineStr"/>
    </row>
    <row r="20" ht="56" customHeight="1">
      <c r="A20" s="31" t="inlineStr">
        <is>
          <t>DB03</t>
        </is>
      </c>
      <c r="B20" s="32" t="inlineStr">
        <is>
          <t>Dashboard</t>
        </is>
      </c>
      <c r="C20" s="32" t="inlineStr">
        <is>
          <t>Distribuicao do pipeline</t>
        </is>
      </c>
      <c r="D20" s="33" t="inlineStr">
        <is>
          <t>Happy</t>
        </is>
      </c>
      <c r="E20" s="32" t="inlineStr">
        <is>
          <t>/</t>
        </is>
      </c>
      <c r="F20" s="32" t="inlineStr">
        <is>
          <t>-</t>
        </is>
      </c>
      <c r="G20" s="32" t="inlineStr">
        <is>
          <t>1) Conferir grafico</t>
        </is>
      </c>
      <c r="H20" s="32" t="inlineStr">
        <is>
          <t>Bate com somatorio das oportunidades</t>
        </is>
      </c>
      <c r="I20" s="34" t="inlineStr">
        <is>
          <t>Pendente</t>
        </is>
      </c>
      <c r="J20" s="32" t="inlineStr"/>
    </row>
    <row r="21" ht="56" customHeight="1">
      <c r="A21" s="35" t="inlineStr">
        <is>
          <t>DB04</t>
        </is>
      </c>
      <c r="B21" s="36" t="inlineStr">
        <is>
          <t>Dashboard</t>
        </is>
      </c>
      <c r="C21" s="36" t="inlineStr">
        <is>
          <t>Crescimento de creators</t>
        </is>
      </c>
      <c r="D21" s="33" t="inlineStr">
        <is>
          <t>Happy</t>
        </is>
      </c>
      <c r="E21" s="36" t="inlineStr">
        <is>
          <t>/</t>
        </is>
      </c>
      <c r="F21" s="36" t="inlineStr">
        <is>
          <t>-</t>
        </is>
      </c>
      <c r="G21" s="36" t="inlineStr">
        <is>
          <t>1) Conferir grafico</t>
        </is>
      </c>
      <c r="H21" s="36" t="inlineStr">
        <is>
          <t>Curva coerente</t>
        </is>
      </c>
      <c r="I21" s="37" t="inlineStr">
        <is>
          <t>Pendente</t>
        </is>
      </c>
      <c r="J21" s="36" t="inlineStr"/>
    </row>
    <row r="22" ht="56" customHeight="1">
      <c r="A22" s="31" t="inlineStr">
        <is>
          <t>MT01</t>
        </is>
      </c>
      <c r="B22" s="32" t="inlineStr">
        <is>
          <t>Multi-tenant</t>
        </is>
      </c>
      <c r="C22" s="32" t="inlineStr">
        <is>
          <t>Isolamento entre contratos</t>
        </is>
      </c>
      <c r="D22" s="39" t="inlineStr">
        <is>
          <t>Critico</t>
        </is>
      </c>
      <c r="E22" s="32" t="inlineStr">
        <is>
          <t>-</t>
        </is>
      </c>
      <c r="F22" s="32" t="inlineStr">
        <is>
          <t>2 contratos com dados</t>
        </is>
      </c>
      <c r="G22" s="32" t="inlineStr">
        <is>
          <t>1) Login A 2) Conferir 3) Login B 4) Conferir</t>
        </is>
      </c>
      <c r="H22" s="32" t="inlineStr">
        <is>
          <t>Zero overlap de dados</t>
        </is>
      </c>
      <c r="I22" s="34" t="inlineStr">
        <is>
          <t>Pendente</t>
        </is>
      </c>
      <c r="J22" s="32" t="inlineStr"/>
    </row>
    <row r="23" ht="56" customHeight="1">
      <c r="A23" s="35" t="inlineStr">
        <is>
          <t>MT02</t>
        </is>
      </c>
      <c r="B23" s="36" t="inlineStr">
        <is>
          <t>Multi-tenant</t>
        </is>
      </c>
      <c r="C23" s="36" t="inlineStr">
        <is>
          <t>IntegrationSecret invalido</t>
        </is>
      </c>
      <c r="D23" s="38" t="inlineStr">
        <is>
          <t>Edge</t>
        </is>
      </c>
      <c r="E23" s="36" t="inlineStr">
        <is>
          <t>-</t>
        </is>
      </c>
      <c r="F23" s="36" t="inlineStr">
        <is>
          <t>-</t>
        </is>
      </c>
      <c r="G23" s="36" t="inlineStr">
        <is>
          <t>1) Server-to-server com secret invalido</t>
        </is>
      </c>
      <c r="H23" s="36" t="inlineStr">
        <is>
          <t>Retorna 401/403</t>
        </is>
      </c>
      <c r="I23" s="37" t="inlineStr">
        <is>
          <t>Pendente</t>
        </is>
      </c>
      <c r="J23" s="36" t="inlineStr"/>
    </row>
    <row r="24" ht="56" customHeight="1">
      <c r="A24" s="31" t="inlineStr">
        <is>
          <t>MT03</t>
        </is>
      </c>
      <c r="B24" s="32" t="inlineStr">
        <is>
          <t>Multi-tenant</t>
        </is>
      </c>
      <c r="C24" s="32" t="inlineStr">
        <is>
          <t>Tenant desativado</t>
        </is>
      </c>
      <c r="D24" s="38" t="inlineStr">
        <is>
          <t>Edge</t>
        </is>
      </c>
      <c r="E24" s="32" t="inlineStr">
        <is>
          <t>-</t>
        </is>
      </c>
      <c r="F24" s="32" t="inlineStr">
        <is>
          <t>-</t>
        </is>
      </c>
      <c r="G24" s="32" t="inlineStr">
        <is>
          <t>1) Logar em contrato inativo</t>
        </is>
      </c>
      <c r="H24" s="32" t="inlineStr">
        <is>
          <t>Mensagem clara, sem 500</t>
        </is>
      </c>
      <c r="I24" s="34" t="inlineStr">
        <is>
          <t>Pendente</t>
        </is>
      </c>
      <c r="J24" s="32" t="inlineStr"/>
    </row>
    <row r="25" ht="56" customHeight="1">
      <c r="A25" s="35" t="inlineStr">
        <is>
          <t>RG01</t>
        </is>
      </c>
      <c r="B25" s="36" t="inlineStr">
        <is>
          <t>Regressao</t>
        </is>
      </c>
      <c r="C25" s="36" t="inlineStr">
        <is>
          <t>Toast com borda esquerda colorida</t>
        </is>
      </c>
      <c r="D25" s="33" t="inlineStr">
        <is>
          <t>Happy</t>
        </is>
      </c>
      <c r="E25" s="36" t="inlineStr">
        <is>
          <t>-</t>
        </is>
      </c>
      <c r="F25" s="36" t="inlineStr">
        <is>
          <t>-</t>
        </is>
      </c>
      <c r="G25" s="36" t="inlineStr">
        <is>
          <t>1) Disparar acao com toast</t>
        </is>
      </c>
      <c r="H25" s="36" t="inlineStr">
        <is>
          <t>Fundo branco, borda esquerda da cor da variante</t>
        </is>
      </c>
      <c r="I25" s="37" t="inlineStr">
        <is>
          <t>Pendente</t>
        </is>
      </c>
      <c r="J25" s="36" t="inlineStr"/>
    </row>
    <row r="26" ht="56" customHeight="1">
      <c r="A26" s="31" t="inlineStr">
        <is>
          <t>RG02</t>
        </is>
      </c>
      <c r="B26" s="32" t="inlineStr">
        <is>
          <t>Regressao</t>
        </is>
      </c>
      <c r="C26" s="32" t="inlineStr">
        <is>
          <t>SearchableSelect lista vazia</t>
        </is>
      </c>
      <c r="D26" s="38" t="inlineStr">
        <is>
          <t>Edge</t>
        </is>
      </c>
      <c r="E26" s="32" t="inlineStr">
        <is>
          <t>-</t>
        </is>
      </c>
      <c r="F26" s="32" t="inlineStr">
        <is>
          <t>-</t>
        </is>
      </c>
      <c r="G26" s="32" t="inlineStr">
        <is>
          <t>1) Abrir dropdown sem itens</t>
        </is>
      </c>
      <c r="H26" s="32" t="inlineStr">
        <is>
          <t>Mostra nenhum resultado, sem quebrar</t>
        </is>
      </c>
      <c r="I26" s="34" t="inlineStr">
        <is>
          <t>Pendente</t>
        </is>
      </c>
      <c r="J26" s="32" t="inlineStr"/>
    </row>
    <row r="27" ht="56" customHeight="1">
      <c r="A27" s="35" t="inlineStr">
        <is>
          <t>RG03</t>
        </is>
      </c>
      <c r="B27" s="36" t="inlineStr">
        <is>
          <t>Regressao</t>
        </is>
      </c>
      <c r="C27" s="36" t="inlineStr">
        <is>
          <t>Sheet vs pagina de detalhe</t>
        </is>
      </c>
      <c r="D27" s="33" t="inlineStr">
        <is>
          <t>Happy</t>
        </is>
      </c>
      <c r="E27" s="36" t="inlineStr">
        <is>
          <t>-</t>
        </is>
      </c>
      <c r="F27" s="36" t="inlineStr">
        <is>
          <t>-</t>
        </is>
      </c>
      <c r="G27" s="36" t="inlineStr">
        <is>
          <t>1) Conferir grids Sheet (dblclick) e grids com botao</t>
        </is>
      </c>
      <c r="H27" s="36" t="inlineStr">
        <is>
          <t>Botao nativo nas grids que navegam para detalhe</t>
        </is>
      </c>
      <c r="I27" s="37" t="inlineStr">
        <is>
          <t>Pendente</t>
        </is>
      </c>
      <c r="J27" s="36" t="inlineStr"/>
    </row>
    <row r="28" ht="56" customHeight="1">
      <c r="A28" s="31" t="inlineStr">
        <is>
          <t>RG04</t>
        </is>
      </c>
      <c r="B28" s="32" t="inlineStr">
        <is>
          <t>Regressao</t>
        </is>
      </c>
      <c r="C28" s="32" t="inlineStr">
        <is>
          <t>Cores primarias sutis</t>
        </is>
      </c>
      <c r="D28" s="33" t="inlineStr">
        <is>
          <t>Happy</t>
        </is>
      </c>
      <c r="E28" s="32" t="inlineStr">
        <is>
          <t>-</t>
        </is>
      </c>
      <c r="F28" s="32" t="inlineStr">
        <is>
          <t>-</t>
        </is>
      </c>
      <c r="G28" s="32" t="inlineStr">
        <is>
          <t>1) Revisar telas com destaque primary</t>
        </is>
      </c>
      <c r="H28" s="32" t="inlineStr">
        <is>
          <t>Sem bg-primary solido em areas grandes</t>
        </is>
      </c>
      <c r="I28" s="34" t="inlineStr">
        <is>
          <t>Pendente</t>
        </is>
      </c>
      <c r="J28" s="32" t="inlineStr"/>
    </row>
    <row r="29" ht="56" customHeight="1">
      <c r="A29" s="35" t="inlineStr">
        <is>
          <t>RG05</t>
        </is>
      </c>
      <c r="B29" s="36" t="inlineStr">
        <is>
          <t>Regressao</t>
        </is>
      </c>
      <c r="C29" s="36" t="inlineStr">
        <is>
          <t>getById dos services antigos</t>
        </is>
      </c>
      <c r="D29" s="38" t="inlineStr">
        <is>
          <t>Edge</t>
        </is>
      </c>
      <c r="E29" s="36" t="inlineStr">
        <is>
          <t>-</t>
        </is>
      </c>
      <c r="F29" s="36" t="inlineStr">
        <is>
          <t>-</t>
        </is>
      </c>
      <c r="G29" s="36" t="inlineStr">
        <is>
          <t>1) Editar campaignDocument 2) campaignDocumentTemplate 3) creatorPayment</t>
        </is>
      </c>
      <c r="H29" s="36" t="inlineStr">
        <is>
          <t>Sem 404 (ver project_creator_service_route_bug)</t>
        </is>
      </c>
      <c r="I29" s="37" t="inlineStr">
        <is>
          <t>Pendente</t>
        </is>
      </c>
      <c r="J29" s="36" t="inlineStr"/>
    </row>
  </sheetData>
  <autoFilter ref="A3:J29"/>
  <mergeCells count="1">
    <mergeCell ref="A1:J1"/>
  </mergeCells>
  <conditionalFormatting sqref="I4:I29">
    <cfRule type="cellIs" priority="1" operator="equal" dxfId="0">
      <formula>"Pendente"</formula>
    </cfRule>
    <cfRule type="cellIs" priority="2" operator="equal" dxfId="1">
      <formula>"Em andamento"</formula>
    </cfRule>
    <cfRule type="cellIs" priority="3" operator="equal" dxfId="2">
      <formula>"Passou"</formula>
    </cfRule>
    <cfRule type="cellIs" priority="4" operator="equal" dxfId="3">
      <formula>"Falhou"</formula>
    </cfRule>
    <cfRule type="cellIs" priority="5" operator="equal" dxfId="4">
      <formula>"Bloqueado"</formula>
    </cfRule>
    <cfRule type="cellIs" priority="6" operator="equal" dxfId="5">
      <formula>"N/A"</formula>
    </cfRule>
  </conditionalFormatting>
  <dataValidations count="1">
    <dataValidation sqref="I4:I29" showDropDown="0" showInputMessage="0" showErrorMessage="0" allowBlank="0" errorTitle="Status invalido" error="Selecione um status valido." promptTitle="Status" prompt="Selecione status" type="list">
      <formula1>"Pendente,Em andamento,Passou,Falhou,Bloqueado,N/A"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2026-05-15T13:43:26Z</dcterms:created>
  <dcterms:modified xsi:type="dcterms:W3CDTF">2026-05-15T13:43:26Z</dcterms:modified>
</cp:coreProperties>
</file>